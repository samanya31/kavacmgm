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_CashBank" sheetId="2" state="visible" r:id="rId4"/>
    <sheet name="INPUT_MutualFund" sheetId="3" state="visible" r:id="rId5"/>
    <sheet name="INPUT_Deployment" sheetId="4" state="visible" r:id="rId6"/>
    <sheet name="INPUT_Drawdown" sheetId="5" state="visible" r:id="rId7"/>
    <sheet name="INPUT_Investors" sheetId="6" state="visible" r:id="rId8"/>
    <sheet name="INPUT_Pipeline" sheetId="7" state="visible" r:id="rId9"/>
    <sheet name="SUMMARY_Analytic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<sst xmlns="http://schemas.openxmlformats.org/spreadsheetml/2006/main" count="263" uniqueCount="226">
  <si>
    <t xml:space="preserve">MOUNTTECH GROWTH FUND – KAVACHH (₹500 Cr)</t>
  </si>
  <si>
    <t xml:space="preserve">Fund Operations Dashboard  |  SEBI Cat-II AIF  |  Live Tracker</t>
  </si>
  <si>
    <t xml:space="preserve">FUND CORPUS</t>
  </si>
  <si>
    <t xml:space="preserve">CAPITAL CALLED</t>
  </si>
  <si>
    <t xml:space="preserve">DEPLOYED</t>
  </si>
  <si>
    <t xml:space="preserve">CASH &amp; BANK</t>
  </si>
  <si>
    <t xml:space="preserve">MF NAV VALUE</t>
  </si>
  <si>
    <t xml:space="preserve">INVESTORS</t>
  </si>
  <si>
    <t xml:space="preserve">PIPELINE</t>
  </si>
  <si>
    <t xml:space="preserve">CONFIRMED</t>
  </si>
  <si>
    <t xml:space="preserve">₹500 Cr</t>
  </si>
  <si>
    <t xml:space="preserve">  CASH &amp; BANK BALANCES</t>
  </si>
  <si>
    <t xml:space="preserve">  FUND DEPLOYMENT SUMMARY</t>
  </si>
  <si>
    <t xml:space="preserve">Bank / Account</t>
  </si>
  <si>
    <t xml:space="preserve">Type</t>
  </si>
  <si>
    <t xml:space="preserve">Balance (₹ Cr)</t>
  </si>
  <si>
    <t xml:space="preserve">As of Date</t>
  </si>
  <si>
    <t xml:space="preserve">Company / Instrument</t>
  </si>
  <si>
    <t xml:space="preserve">Sector</t>
  </si>
  <si>
    <t xml:space="preserve">Amount (₹ Cr)</t>
  </si>
  <si>
    <t xml:space="preserve">Date</t>
  </si>
  <si>
    <t xml:space="preserve">TOTAL</t>
  </si>
  <si>
    <t xml:space="preserve">TOTAL DEPLOYED</t>
  </si>
  <si>
    <t xml:space="preserve">  MUTUAL FUND INVESTMENTS – NAV TRACKER</t>
  </si>
  <si>
    <t xml:space="preserve">  INVESTOR DRAWDOWN SUMMARY</t>
  </si>
  <si>
    <t xml:space="preserve">Fund / Scheme</t>
  </si>
  <si>
    <t xml:space="preserve">Units Held</t>
  </si>
  <si>
    <t xml:space="preserve">Current NAV</t>
  </si>
  <si>
    <t xml:space="preserve">Market Value (₹ Cr)</t>
  </si>
  <si>
    <t xml:space="preserve">Investor Name</t>
  </si>
  <si>
    <t xml:space="preserve">Class</t>
  </si>
  <si>
    <t xml:space="preserve">Drawdown Called (₹ Cr)</t>
  </si>
  <si>
    <t xml:space="preserve">TOTAL MF VALUE</t>
  </si>
  <si>
    <t xml:space="preserve">TOTAL DRAWDOWN CALLED</t>
  </si>
  <si>
    <t xml:space="preserve">  INVESTOR PIPELINE – STATUS SUMMARY</t>
  </si>
  <si>
    <t xml:space="preserve">Discussion</t>
  </si>
  <si>
    <t xml:space="preserve">KYC</t>
  </si>
  <si>
    <t xml:space="preserve">Confirmed</t>
  </si>
  <si>
    <t xml:space="preserve">Due Diligence</t>
  </si>
  <si>
    <t xml:space="preserve">KYC Completed</t>
  </si>
  <si>
    <t xml:space="preserve">CA Signing</t>
  </si>
  <si>
    <t xml:space="preserve">Drawdown Issued</t>
  </si>
  <si>
    <t xml:space="preserve">  ← Fund Received (Committed)</t>
  </si>
  <si>
    <t xml:space="preserve">MountTech Growth Fund – Kavachh  |  SEBI Reg. Cat-II AIF  |  Confidential &amp; Restricted  |  Finance &amp; Compliance – AVP</t>
  </si>
  <si>
    <t xml:space="preserve">INPUT – CASH &amp; BANK BALANCES  |  MountTech Growth Fund – Kavachh</t>
  </si>
  <si>
    <t xml:space="preserve">⚠  All inputs here update the DASHBOARD automatically. Enter values in INR Crore unless noted.</t>
  </si>
  <si>
    <t xml:space="preserve">TOTAL CASH &amp; BANK BALANCE (₹ Cr)</t>
  </si>
  <si>
    <t xml:space="preserve">Bank / Account Name</t>
  </si>
  <si>
    <t xml:space="preserve">Account Type</t>
  </si>
  <si>
    <t xml:space="preserve">Bank Branch</t>
  </si>
  <si>
    <t xml:space="preserve">IFSC Code</t>
  </si>
  <si>
    <t xml:space="preserve">Account No.</t>
  </si>
  <si>
    <t xml:space="preserve">Remarks</t>
  </si>
  <si>
    <t xml:space="preserve">HDFC Bank – Escrow A/c</t>
  </si>
  <si>
    <t xml:space="preserve">Current Account</t>
  </si>
  <si>
    <t xml:space="preserve">29-Jun-2026</t>
  </si>
  <si>
    <t xml:space="preserve">Connaught Place, New Delhi</t>
  </si>
  <si>
    <t xml:space="preserve">HDFC0001234</t>
  </si>
  <si>
    <t xml:space="preserve">XXXXXXXXXXXX1234</t>
  </si>
  <si>
    <t xml:space="preserve">Fund Escrow Account</t>
  </si>
  <si>
    <t xml:space="preserve">ICICI Bank – Ops A/c</t>
  </si>
  <si>
    <t xml:space="preserve">Nehru Place, New Delhi</t>
  </si>
  <si>
    <t xml:space="preserve">ICIC0002345</t>
  </si>
  <si>
    <t xml:space="preserve">XXXXXXXXXXXX2345</t>
  </si>
  <si>
    <t xml:space="preserve">Operational Account</t>
  </si>
  <si>
    <t xml:space="preserve">SBI – FD</t>
  </si>
  <si>
    <t xml:space="preserve">Fixed Deposit</t>
  </si>
  <si>
    <t xml:space="preserve">15-Jun-2026</t>
  </si>
  <si>
    <t xml:space="preserve">Parliament Street, New Delhi</t>
  </si>
  <si>
    <t xml:space="preserve">SBIN0003456</t>
  </si>
  <si>
    <t xml:space="preserve">XXXXXXXXXXXX3456</t>
  </si>
  <si>
    <t xml:space="preserve">12-month FD @7.5% p.a.</t>
  </si>
  <si>
    <t xml:space="preserve">INPUT – MUTUAL FUND – NAV TRACKER  |  MountTech Growth Fund – Kavachh</t>
  </si>
  <si>
    <t xml:space="preserve">TOTAL MF MARKET VALUE (₹ Cr)</t>
  </si>
  <si>
    <t xml:space="preserve">Scheme / Fund Name</t>
  </si>
  <si>
    <t xml:space="preserve">AMC</t>
  </si>
  <si>
    <t xml:space="preserve">Latest NAV (₹)</t>
  </si>
  <si>
    <t xml:space="preserve">Cost (₹ Cr)</t>
  </si>
  <si>
    <t xml:space="preserve">Unrealised G/L (₹ Cr)</t>
  </si>
  <si>
    <t xml:space="preserve">NAV Date</t>
  </si>
  <si>
    <t xml:space="preserve">ISIN</t>
  </si>
  <si>
    <t xml:space="preserve">HDFC Liquid Fund – Growth</t>
  </si>
  <si>
    <t xml:space="preserve">HDFC AMC</t>
  </si>
  <si>
    <t xml:space="preserve">28-Jun-2026</t>
  </si>
  <si>
    <t xml:space="preserve">INF179K01VY7</t>
  </si>
  <si>
    <t xml:space="preserve">Liquid parking</t>
  </si>
  <si>
    <t xml:space="preserve">Nippon India Overnight Fund</t>
  </si>
  <si>
    <t xml:space="preserve">Nippon AMC</t>
  </si>
  <si>
    <t xml:space="preserve">INF204K01T90</t>
  </si>
  <si>
    <t xml:space="preserve">Overnight fund</t>
  </si>
  <si>
    <t xml:space="preserve">INPUT – FUND DEPLOYMENT TRACKER  |  MountTech Growth Fund – Kavachh</t>
  </si>
  <si>
    <t xml:space="preserve">TOTAL AMOUNT DEPLOYED (₹ Cr)</t>
  </si>
  <si>
    <t xml:space="preserve">Portfolio Company</t>
  </si>
  <si>
    <t xml:space="preserve">Amount Deployed (₹ Cr)</t>
  </si>
  <si>
    <t xml:space="preserve">Investment Date</t>
  </si>
  <si>
    <t xml:space="preserve">Instrument</t>
  </si>
  <si>
    <t xml:space="preserve">Stage</t>
  </si>
  <si>
    <t xml:space="preserve">Co-Investor</t>
  </si>
  <si>
    <t xml:space="preserve">IRR Target (%)</t>
  </si>
  <si>
    <t xml:space="preserve">[Portfolio Co. 1 – Placeholder]</t>
  </si>
  <si>
    <t xml:space="preserve">FinTech</t>
  </si>
  <si>
    <t xml:space="preserve">15-Mar-2026</t>
  </si>
  <si>
    <t xml:space="preserve">CCPS</t>
  </si>
  <si>
    <t xml:space="preserve">Series A</t>
  </si>
  <si>
    <t xml:space="preserve">-</t>
  </si>
  <si>
    <t xml:space="preserve">Lead investor</t>
  </si>
  <si>
    <t xml:space="preserve">[Portfolio Co. 2 – Placeholder]</t>
  </si>
  <si>
    <t xml:space="preserve">AgriTech</t>
  </si>
  <si>
    <t xml:space="preserve">01-May-2026</t>
  </si>
  <si>
    <t xml:space="preserve">Equity</t>
  </si>
  <si>
    <t xml:space="preserve">Pre-Series A</t>
  </si>
  <si>
    <t xml:space="preserve">Co-led with XYZ</t>
  </si>
  <si>
    <t xml:space="preserve">INPUT – CAPITAL CALLED – DRAWDOWN TRACKER  |  MountTech Growth Fund – Kavachh</t>
  </si>
  <si>
    <t xml:space="preserve">TOTAL CAPITAL CALLED (₹ Cr)</t>
  </si>
  <si>
    <t xml:space="preserve">Investor Class</t>
  </si>
  <si>
    <t xml:space="preserve">Drawdown Notice No.</t>
  </si>
  <si>
    <t xml:space="preserve">Drawdown Amount (₹ Cr)</t>
  </si>
  <si>
    <t xml:space="preserve">Notice Date</t>
  </si>
  <si>
    <t xml:space="preserve">Due Date</t>
  </si>
  <si>
    <t xml:space="preserve">Amount Received (₹ Cr)</t>
  </si>
  <si>
    <t xml:space="preserve">Receipt Date</t>
  </si>
  <si>
    <t xml:space="preserve">Balance Pending (₹ Cr)</t>
  </si>
  <si>
    <t xml:space="preserve">INPUT – INVESTOR MASTER – 65 INVESTORS  |  MountTech Growth Fund – Kavachh</t>
  </si>
  <si>
    <t xml:space="preserve">TOTAL COMMITMENT</t>
  </si>
  <si>
    <t xml:space="preserve">S.No.</t>
  </si>
  <si>
    <t xml:space="preserve">Entity Type</t>
  </si>
  <si>
    <t xml:space="preserve">Commitment (₹ Cr)</t>
  </si>
  <si>
    <t xml:space="preserve">Balance Commitment (₹ Cr)</t>
  </si>
  <si>
    <t xml:space="preserve">CA Date</t>
  </si>
  <si>
    <t xml:space="preserve">KYC Status</t>
  </si>
  <si>
    <t xml:space="preserve">CKYC / KIN No.</t>
  </si>
  <si>
    <t xml:space="preserve">PAN No.</t>
  </si>
  <si>
    <t xml:space="preserve">Contact Person</t>
  </si>
  <si>
    <t xml:space="preserve">Email ID</t>
  </si>
  <si>
    <t xml:space="preserve">Mobile No.</t>
  </si>
  <si>
    <t xml:space="preserve">City / State</t>
  </si>
  <si>
    <t xml:space="preserve">Investor 01 – [Family Office / HNI]</t>
  </si>
  <si>
    <t xml:space="preserve">Investor 02 – [Corporate Entity]</t>
  </si>
  <si>
    <t xml:space="preserve">Investor 03 – [Individual – HNI]</t>
  </si>
  <si>
    <t xml:space="preserve">Investor 04 – [Family Trust]</t>
  </si>
  <si>
    <t xml:space="preserve">DAK – [Class D Investor]</t>
  </si>
  <si>
    <t xml:space="preserve">Investor 06 – [Placeholder]</t>
  </si>
  <si>
    <t xml:space="preserve">Investor 07 – [Placeholder]</t>
  </si>
  <si>
    <t xml:space="preserve">Investor 08 – [Placeholder]</t>
  </si>
  <si>
    <t xml:space="preserve">Investor 09 – [Placeholder]</t>
  </si>
  <si>
    <t xml:space="preserve">Investor 10 – [Placeholder]</t>
  </si>
  <si>
    <t xml:space="preserve">Investor 11 – [Placeholder]</t>
  </si>
  <si>
    <t xml:space="preserve">Investor 12 – [Placeholder]</t>
  </si>
  <si>
    <t xml:space="preserve">Investor 13 – [Placeholder]</t>
  </si>
  <si>
    <t xml:space="preserve">Investor 14 – [Placeholder]</t>
  </si>
  <si>
    <t xml:space="preserve">Investor 15 – [Placeholder]</t>
  </si>
  <si>
    <t xml:space="preserve">Investor 16 – [Placeholder]</t>
  </si>
  <si>
    <t xml:space="preserve">Investor 17 – [Placeholder]</t>
  </si>
  <si>
    <t xml:space="preserve">Investor 18 – [Placeholder]</t>
  </si>
  <si>
    <t xml:space="preserve">Investor 19 – [Placeholder]</t>
  </si>
  <si>
    <t xml:space="preserve">Investor 20 – [Placeholder]</t>
  </si>
  <si>
    <t xml:space="preserve">Investor 21 – [Placeholder]</t>
  </si>
  <si>
    <t xml:space="preserve">Investor 22 – [Placeholder]</t>
  </si>
  <si>
    <t xml:space="preserve">Investor 23 – [Placeholder]</t>
  </si>
  <si>
    <t xml:space="preserve">Investor 24 – [Placeholder]</t>
  </si>
  <si>
    <t xml:space="preserve">Investor 25 – [Placeholder]</t>
  </si>
  <si>
    <t xml:space="preserve">Investor 26 – [Placeholder]</t>
  </si>
  <si>
    <t xml:space="preserve">Investor 27 – [Placeholder]</t>
  </si>
  <si>
    <t xml:space="preserve">Investor 28 – [Placeholder]</t>
  </si>
  <si>
    <t xml:space="preserve">Investor 29 – [Placeholder]</t>
  </si>
  <si>
    <t xml:space="preserve">Investor 30 – [Placeholder]</t>
  </si>
  <si>
    <t xml:space="preserve">Investor 31 – [Placeholder]</t>
  </si>
  <si>
    <t xml:space="preserve">Investor 32 – [Placeholder]</t>
  </si>
  <si>
    <t xml:space="preserve">Investor 33 – [Placeholder]</t>
  </si>
  <si>
    <t xml:space="preserve">Investor 34 – [Placeholder]</t>
  </si>
  <si>
    <t xml:space="preserve">Investor 35 – [Placeholder]</t>
  </si>
  <si>
    <t xml:space="preserve">Investor 36 – [Placeholder]</t>
  </si>
  <si>
    <t xml:space="preserve">Investor 37 – [Placeholder]</t>
  </si>
  <si>
    <t xml:space="preserve">Investor 38 – [Placeholder]</t>
  </si>
  <si>
    <t xml:space="preserve">Investor 39 – [Placeholder]</t>
  </si>
  <si>
    <t xml:space="preserve">Investor 40 – [Placeholder]</t>
  </si>
  <si>
    <t xml:space="preserve">Investor 41 – [Placeholder]</t>
  </si>
  <si>
    <t xml:space="preserve">Investor 42 – [Placeholder]</t>
  </si>
  <si>
    <t xml:space="preserve">Investor 43 – [Placeholder]</t>
  </si>
  <si>
    <t xml:space="preserve">Investor 44 – [Placeholder]</t>
  </si>
  <si>
    <t xml:space="preserve">Investor 45 – [Placeholder]</t>
  </si>
  <si>
    <t xml:space="preserve">Investor 46 – [Placeholder]</t>
  </si>
  <si>
    <t xml:space="preserve">Investor 47 – [Placeholder]</t>
  </si>
  <si>
    <t xml:space="preserve">Investor 48 – [Placeholder]</t>
  </si>
  <si>
    <t xml:space="preserve">Investor 49 – [Placeholder]</t>
  </si>
  <si>
    <t xml:space="preserve">Investor 50 – [Placeholder]</t>
  </si>
  <si>
    <t xml:space="preserve">Investor 51 – [Placeholder]</t>
  </si>
  <si>
    <t xml:space="preserve">Investor 52 – [Placeholder]</t>
  </si>
  <si>
    <t xml:space="preserve">Investor 53 – [Placeholder]</t>
  </si>
  <si>
    <t xml:space="preserve">Investor 54 – [Placeholder]</t>
  </si>
  <si>
    <t xml:space="preserve">Investor 55 – [Placeholder]</t>
  </si>
  <si>
    <t xml:space="preserve">Investor 56 – [Placeholder]</t>
  </si>
  <si>
    <t xml:space="preserve">Investor 57 – [Placeholder]</t>
  </si>
  <si>
    <t xml:space="preserve">Investor 58 – [Placeholder]</t>
  </si>
  <si>
    <t xml:space="preserve">Investor 59 – [Placeholder]</t>
  </si>
  <si>
    <t xml:space="preserve">Investor 60 – [Placeholder]</t>
  </si>
  <si>
    <t xml:space="preserve">Investor 61 – [Placeholder]</t>
  </si>
  <si>
    <t xml:space="preserve">Investor 62 – [Placeholder]</t>
  </si>
  <si>
    <t xml:space="preserve">Investor 63 – [Placeholder]</t>
  </si>
  <si>
    <t xml:space="preserve">Investor 64 – [Placeholder]</t>
  </si>
  <si>
    <t xml:space="preserve">Investor 65 – [Placeholder]</t>
  </si>
  <si>
    <t xml:space="preserve">INPUT – INVESTOR PIPELINE TRACKER  |  MountTech Growth Fund – Kavachh</t>
  </si>
  <si>
    <t xml:space="preserve">TOTAL PIPELINE INVESTORS</t>
  </si>
  <si>
    <t xml:space="preserve">← Total Confirmed Commitment (₹ Cr)</t>
  </si>
  <si>
    <t xml:space="preserve">Investor Name / Entity</t>
  </si>
  <si>
    <t xml:space="preserve">Commitment Size (₹ Cr)</t>
  </si>
  <si>
    <t xml:space="preserve">Pipeline Status</t>
  </si>
  <si>
    <t xml:space="preserve">First Meeting Date</t>
  </si>
  <si>
    <t xml:space="preserve">Last Interaction</t>
  </si>
  <si>
    <t xml:space="preserve">Next Action</t>
  </si>
  <si>
    <t xml:space="preserve">Next Action Date</t>
  </si>
  <si>
    <t xml:space="preserve">Assigned To</t>
  </si>
  <si>
    <t xml:space="preserve">MGF – KAVACHH  |  Fund Analytics &amp; Summary</t>
  </si>
  <si>
    <t xml:space="preserve">  FUND UTILISATION SUMMARY</t>
  </si>
  <si>
    <t xml:space="preserve">Fund Corpus (₹ Cr)</t>
  </si>
  <si>
    <t xml:space="preserve">Capital Called (₹ Cr)</t>
  </si>
  <si>
    <t xml:space="preserve">Cash &amp; Bank (₹ Cr)</t>
  </si>
  <si>
    <t xml:space="preserve">MF Market Value (₹ Cr)</t>
  </si>
  <si>
    <t xml:space="preserve">Deployment % of Corpus</t>
  </si>
  <si>
    <t xml:space="preserve">Capital Called % of Corpus</t>
  </si>
  <si>
    <t xml:space="preserve">Undeployed Capital (₹ Cr)</t>
  </si>
  <si>
    <t xml:space="preserve">  PIPELINE FUNNEL (AUTO-COUNTED)</t>
  </si>
  <si>
    <t xml:space="preserve">Count</t>
  </si>
  <si>
    <t xml:space="preserve">Fund Received</t>
  </si>
  <si>
    <t xml:space="preserve">On Hold</t>
  </si>
  <si>
    <t xml:space="preserve">Dropped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</si>
</sst>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.00&quot; Cr&quot;"/>
    <numFmt numFmtId="166" formatCode="General"/>
    <numFmt numFmtId="167" formatCode="dd\-mmm\-yyyy"/>
    <numFmt numFmtId="168" formatCode="#,##0.000"/>
    <numFmt numFmtId="169" formatCode="\₹#,##0.0000"/>
    <numFmt numFmtId="170" formatCode="#,##0"/>
    <numFmt numFmtId="171" formatCode="0.0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8"/>
      <color rgb="FFF5E6C0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6A7A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i val="true"/>
      <sz val="8"/>
      <color rgb="FFF5E6C0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11"/>
      <color rgb="FF1A6A7A"/>
      <name val="Arial"/>
      <family val="0"/>
      <charset val="1"/>
    </font>
    <font>
      <sz val="9"/>
      <color rgb="FF4A4A4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D4701A"/>
      <name val="Arial"/>
      <family val="0"/>
      <charset val="1"/>
    </font>
    <font>
      <i val="true"/>
      <sz val="9"/>
      <color rgb="FFD4701A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4A4A4A"/>
      <name val="Arial"/>
      <family val="0"/>
      <charset val="1"/>
    </font>
    <font>
      <b val="true"/>
      <sz val="10"/>
      <color rgb="FF4A4A4A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BBBBBB"/>
      </patternFill>
    </fill>
    <fill>
      <patternFill patternType="solid">
        <fgColor rgb="FF1A7A4A"/>
        <bgColor rgb="FF1A6A7A"/>
      </patternFill>
    </fill>
    <fill>
      <patternFill patternType="solid">
        <fgColor rgb="FF1A6A7A"/>
        <bgColor rgb="FF1A7A4A"/>
      </patternFill>
    </fill>
    <fill>
      <patternFill patternType="solid">
        <fgColor rgb="FF4A4A4A"/>
        <bgColor rgb="FF333399"/>
      </patternFill>
    </fill>
    <fill>
      <patternFill patternType="solid">
        <fgColor rgb="FFD4701A"/>
        <bgColor rgb="FFC9A84C"/>
      </patternFill>
    </fill>
    <fill>
      <patternFill patternType="solid">
        <fgColor rgb="FFD6DCE4"/>
        <bgColor rgb="FFDAEAF6"/>
      </patternFill>
    </fill>
    <fill>
      <patternFill patternType="solid">
        <fgColor rgb="FFFFFFFF"/>
        <bgColor rgb="FFFAFAFA"/>
      </patternFill>
    </fill>
    <fill>
      <patternFill patternType="solid">
        <fgColor rgb="FFF2F4F7"/>
        <bgColor rgb="FFFAFAFA"/>
      </patternFill>
    </fill>
    <fill>
      <patternFill patternType="solid">
        <fgColor rgb="FFF5E6C0"/>
        <bgColor rgb="FFFCE8D4"/>
      </patternFill>
    </fill>
    <fill>
      <patternFill patternType="solid">
        <fgColor rgb="FFD6EEF0"/>
        <bgColor rgb="FFDAEAF6"/>
      </patternFill>
    </fill>
    <fill>
      <patternFill patternType="solid">
        <fgColor rgb="FFDAEAF6"/>
        <bgColor rgb="FFD6EEF0"/>
      </patternFill>
    </fill>
    <fill>
      <patternFill patternType="solid">
        <fgColor rgb="FFFCE8D4"/>
        <bgColor rgb="FFF5E6C0"/>
      </patternFill>
    </fill>
    <fill>
      <patternFill patternType="solid">
        <fgColor rgb="FFFFFACD"/>
        <bgColor rgb="FFFFF9C4"/>
      </patternFill>
    </fill>
    <fill>
      <patternFill patternType="solid">
        <fgColor rgb="FFD6F0E0"/>
        <bgColor rgb="FFD6EEF0"/>
      </patternFill>
    </fill>
    <fill>
      <patternFill patternType="solid">
        <fgColor rgb="FFFFF3E0"/>
        <bgColor rgb="FFFFFACD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F2F4F7"/>
      </patternFill>
    </fill>
    <fill>
      <patternFill patternType="solid">
        <fgColor rgb="FFEDE7F6"/>
        <bgColor rgb="FFF3E5F5"/>
      </patternFill>
    </fill>
    <fill>
      <patternFill patternType="solid">
        <fgColor rgb="FFF3E5F5"/>
        <bgColor rgb="FFEDE7F6"/>
      </patternFill>
    </fill>
    <fill>
      <patternFill patternType="solid">
        <fgColor rgb="FFFFF9C4"/>
        <bgColor rgb="FFFFFACD"/>
      </patternFill>
    </fill>
    <fill>
      <patternFill patternType="solid">
        <fgColor rgb="FFFFE0B2"/>
        <bgColor rgb="FFF5E6C0"/>
      </patternFill>
    </fill>
    <fill>
      <patternFill patternType="solid">
        <fgColor rgb="FFC8E6C9"/>
        <bgColor rgb="FFD6F0E0"/>
      </patternFill>
    </fill>
    <fill>
      <patternFill patternType="solid">
        <fgColor rgb="FFFAFAFA"/>
        <bgColor rgb="FFFFFFFF"/>
      </patternFill>
    </fill>
    <fill>
      <patternFill patternType="solid">
        <fgColor rgb="FFFFCDD2"/>
        <bgColor rgb="FFFFE0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color rgb="FF4A4A4A"/>
        <sz val="10"/>
      </font>
      <fill>
        <patternFill>
          <bgColor rgb="FFFFF3E0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E3F2FD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E8F5E9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EDE7F6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F3E5F5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FFF9C4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FFE0B2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C8E6C9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FAFAFA"/>
        </patternFill>
      </fill>
    </dxf>
    <dxf>
      <font>
        <name val="Arial"/>
        <charset val="1"/>
        <family val="0"/>
        <color rgb="FF4A4A4A"/>
        <sz val="10"/>
      </font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E6C0"/>
      <rgbColor rgb="FFFF00FF"/>
      <rgbColor rgb="FF00FFFF"/>
      <rgbColor rgb="FF800000"/>
      <rgbColor rgb="FF008000"/>
      <rgbColor rgb="FF000080"/>
      <rgbColor rgb="FF808000"/>
      <rgbColor rgb="FF800080"/>
      <rgbColor rgb="FF1A6A7A"/>
      <rgbColor rgb="FFBBBBBB"/>
      <rgbColor rgb="FF888888"/>
      <rgbColor rgb="FFDAEAF6"/>
      <rgbColor rgb="FF993366"/>
      <rgbColor rgb="FFFFFACD"/>
      <rgbColor rgb="FFD6EEF0"/>
      <rgbColor rgb="FF660066"/>
      <rgbColor rgb="FFEDE7F6"/>
      <rgbColor rgb="FF0066CC"/>
      <rgbColor rgb="FFD6DCE4"/>
      <rgbColor rgb="FF000080"/>
      <rgbColor rgb="FFFF00FF"/>
      <rgbColor rgb="FFFCE8D4"/>
      <rgbColor rgb="FF00FFFF"/>
      <rgbColor rgb="FF800080"/>
      <rgbColor rgb="FF800000"/>
      <rgbColor rgb="FF1A7A4A"/>
      <rgbColor rgb="FF0000FF"/>
      <rgbColor rgb="FF00CCFF"/>
      <rgbColor rgb="FFE3F2FD"/>
      <rgbColor rgb="FFD6F0E0"/>
      <rgbColor rgb="FFFFF9C4"/>
      <rgbColor rgb="FFC8E6C9"/>
      <rgbColor rgb="FFFFCDD2"/>
      <rgbColor rgb="FFF3E5F5"/>
      <rgbColor rgb="FFFFE0B2"/>
      <rgbColor rgb="FF3366FF"/>
      <rgbColor rgb="FFFAFAFA"/>
      <rgbColor rgb="FFE8F5E9"/>
      <rgbColor rgb="FFFFF3E0"/>
      <rgbColor rgb="FFF2F4F7"/>
      <rgbColor rgb="FFD4701A"/>
      <rgbColor rgb="FF9B59B6"/>
      <rgbColor rgb="FFC9A84C"/>
      <rgbColor rgb="FF003366"/>
      <rgbColor rgb="FF339966"/>
      <rgbColor rgb="FF003300"/>
      <rgbColor rgb="FF4A4A4A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B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9" min="3" style="0" width="18"/>
    <col collapsed="false" customWidth="true" hidden="false" outlineLevel="0" max="10" min="10" style="0" width="2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13.5" hidden="false" customHeight="true" outlineLevel="0" collapsed="false"/>
    <row r="5" customFormat="false" ht="27.75" hidden="false" customHeight="true" outlineLevel="0" collapsed="false">
      <c r="B5" s="3" t="s">
        <v>2</v>
      </c>
      <c r="C5" s="3" t="s">
        <v>3</v>
      </c>
      <c r="D5" s="3" t="s">
        <v>4</v>
      </c>
      <c r="E5" s="4" t="s">
        <v>5</v>
      </c>
      <c r="F5" s="5" t="s">
        <v>6</v>
      </c>
      <c r="G5" s="6" t="s">
        <v>7</v>
      </c>
      <c r="H5" s="7" t="s">
        <v>8</v>
      </c>
      <c r="I5" s="4" t="s">
        <v>9</v>
      </c>
    </row>
    <row r="6" customFormat="false" ht="27.75" hidden="false" customHeight="true" outlineLevel="0" collapsed="false">
      <c r="B6" s="8" t="s">
        <v>10</v>
      </c>
      <c r="C6" s="9" t="n">
        <f aca="false">INPUT_Drawdown!D3</f>
        <v>0</v>
      </c>
      <c r="D6" s="9" t="n">
        <f aca="false">INPUT_Deployment!B3</f>
        <v>0</v>
      </c>
      <c r="E6" s="10" t="n">
        <f aca="false">INPUT_CashBank!C3</f>
        <v>41.3</v>
      </c>
      <c r="F6" s="11" t="n">
        <f aca="false">INPUT_MutualFund!E3</f>
        <v>58.788992</v>
      </c>
      <c r="G6" s="12" t="n">
        <f aca="false">COUNTA(INPUT_Investors!B5:B69)</f>
        <v>65</v>
      </c>
      <c r="H6" s="13" t="n">
        <f aca="false">COUNTA(INPUT_Pipeline!B5:B104)</f>
        <v>0</v>
      </c>
      <c r="I6" s="14" t="n">
        <f aca="false">COUNTIF(INPUT_Pipeline!G5:G104,"Confirmed")</f>
        <v>0</v>
      </c>
    </row>
    <row r="7" customFormat="false" ht="13.5" hidden="false" customHeight="true" outlineLevel="0" collapsed="false"/>
    <row r="8" customFormat="false" ht="7.5" hidden="false" customHeight="true" outlineLevel="0" collapsed="false"/>
    <row r="9" customFormat="false" ht="21.75" hidden="false" customHeight="true" outlineLevel="0" collapsed="false">
      <c r="B9" s="15" t="s">
        <v>11</v>
      </c>
      <c r="C9" s="15"/>
      <c r="D9" s="15"/>
      <c r="E9" s="15"/>
      <c r="F9" s="16" t="s">
        <v>12</v>
      </c>
      <c r="G9" s="16"/>
      <c r="H9" s="16"/>
      <c r="I9" s="16"/>
    </row>
    <row r="10" customFormat="false" ht="15" hidden="false" customHeight="false" outlineLevel="0" collapsed="false">
      <c r="B10" s="17" t="s">
        <v>13</v>
      </c>
      <c r="C10" s="17" t="s">
        <v>14</v>
      </c>
      <c r="D10" s="17" t="s">
        <v>15</v>
      </c>
      <c r="E10" s="17" t="s">
        <v>16</v>
      </c>
      <c r="F10" s="17" t="s">
        <v>17</v>
      </c>
      <c r="G10" s="17" t="s">
        <v>18</v>
      </c>
      <c r="H10" s="17" t="s">
        <v>19</v>
      </c>
      <c r="I10" s="17" t="s">
        <v>20</v>
      </c>
    </row>
    <row r="11" customFormat="false" ht="18" hidden="false" customHeight="true" outlineLevel="0" collapsed="false">
      <c r="B11" s="18" t="str">
        <f aca="false">IF(INPUT_CashBank!B4&lt;&gt;"",INPUT_CashBank!B4,"")</f>
        <v>Account Type</v>
      </c>
      <c r="C11" s="18" t="str">
        <f aca="false">IF(INPUT_CashBank!C4&lt;&gt;"",INPUT_CashBank!C4,"")</f>
        <v>Balance (₹ Cr)</v>
      </c>
      <c r="D11" s="19" t="str">
        <f aca="false">IF(INPUT_CashBank!D4&lt;&gt;"",INPUT_CashBank!D4,"")</f>
        <v>As of Date</v>
      </c>
      <c r="E11" s="20" t="str">
        <f aca="false">IF(INPUT_CashBank!E4&lt;&gt;"",INPUT_CashBank!E4,"")</f>
        <v>Bank Branch</v>
      </c>
      <c r="F11" s="18" t="str">
        <f aca="false">IF(INPUT_Deployment!B4&lt;&gt;"",INPUT_Deployment!B4,"")</f>
        <v>Sector</v>
      </c>
      <c r="G11" s="18" t="str">
        <f aca="false">IF(INPUT_Deployment!C4&lt;&gt;"",INPUT_Deployment!C4,"")</f>
        <v>Amount Deployed (₹ Cr)</v>
      </c>
      <c r="H11" s="19" t="str">
        <f aca="false">IF(INPUT_Deployment!D4&lt;&gt;"",INPUT_Deployment!D4,"")</f>
        <v>Investment Date</v>
      </c>
      <c r="I11" s="20" t="str">
        <f aca="false">IF(INPUT_Deployment!E4&lt;&gt;"",INPUT_Deployment!E4,"")</f>
        <v>Instrument</v>
      </c>
    </row>
    <row r="12" customFormat="false" ht="18" hidden="false" customHeight="true" outlineLevel="0" collapsed="false">
      <c r="B12" s="21" t="str">
        <f aca="false">IF(INPUT_CashBank!B5&lt;&gt;"",INPUT_CashBank!B5,"")</f>
        <v>Current Account</v>
      </c>
      <c r="C12" s="22" t="n">
        <f aca="false">IF(INPUT_CashBank!C5&lt;&gt;"",INPUT_CashBank!C5,"")</f>
        <v>12.5</v>
      </c>
      <c r="D12" s="22" t="str">
        <f aca="false">IF(INPUT_CashBank!D5&lt;&gt;"",INPUT_CashBank!D5,"")</f>
        <v>29-Jun-2026</v>
      </c>
      <c r="E12" s="23" t="str">
        <f aca="false">IF(INPUT_CashBank!E5&lt;&gt;"",INPUT_CashBank!E5,"")</f>
        <v>Connaught Place, New Delhi</v>
      </c>
      <c r="F12" s="21" t="str">
        <f aca="false">IF(INPUT_Deployment!B5&lt;&gt;"",INPUT_Deployment!B5,"")</f>
        <v>FinTech</v>
      </c>
      <c r="G12" s="22" t="n">
        <f aca="false">IF(INPUT_Deployment!C5&lt;&gt;"",INPUT_Deployment!C5,"")</f>
        <v>15</v>
      </c>
      <c r="H12" s="22" t="str">
        <f aca="false">IF(INPUT_Deployment!D5&lt;&gt;"",INPUT_Deployment!D5,"")</f>
        <v>15-Mar-2026</v>
      </c>
      <c r="I12" s="23" t="str">
        <f aca="false">IF(INPUT_Deployment!E5&lt;&gt;"",INPUT_Deployment!E5,"")</f>
        <v>CCPS</v>
      </c>
    </row>
    <row r="13" customFormat="false" ht="18" hidden="false" customHeight="true" outlineLevel="0" collapsed="false">
      <c r="B13" s="18" t="str">
        <f aca="false">IF(INPUT_CashBank!B6&lt;&gt;"",INPUT_CashBank!B6,"")</f>
        <v>Current Account</v>
      </c>
      <c r="C13" s="19" t="n">
        <f aca="false">IF(INPUT_CashBank!C6&lt;&gt;"",INPUT_CashBank!C6,"")</f>
        <v>3.8</v>
      </c>
      <c r="D13" s="19" t="str">
        <f aca="false">IF(INPUT_CashBank!D6&lt;&gt;"",INPUT_CashBank!D6,"")</f>
        <v>29-Jun-2026</v>
      </c>
      <c r="E13" s="20" t="str">
        <f aca="false">IF(INPUT_CashBank!E6&lt;&gt;"",INPUT_CashBank!E6,"")</f>
        <v>Nehru Place, New Delhi</v>
      </c>
      <c r="F13" s="18" t="str">
        <f aca="false">IF(INPUT_Deployment!B6&lt;&gt;"",INPUT_Deployment!B6,"")</f>
        <v>AgriTech</v>
      </c>
      <c r="G13" s="19" t="n">
        <f aca="false">IF(INPUT_Deployment!C6&lt;&gt;"",INPUT_Deployment!C6,"")</f>
        <v>10</v>
      </c>
      <c r="H13" s="19" t="str">
        <f aca="false">IF(INPUT_Deployment!D6&lt;&gt;"",INPUT_Deployment!D6,"")</f>
        <v>01-May-2026</v>
      </c>
      <c r="I13" s="20" t="str">
        <f aca="false">IF(INPUT_Deployment!E6&lt;&gt;"",INPUT_Deployment!E6,"")</f>
        <v>Equity</v>
      </c>
    </row>
    <row r="14" customFormat="false" ht="18" hidden="false" customHeight="true" outlineLevel="0" collapsed="false">
      <c r="B14" s="21" t="str">
        <f aca="false">IF(INPUT_CashBank!B7&lt;&gt;"",INPUT_CashBank!B7,"")</f>
        <v>Fixed Deposit</v>
      </c>
      <c r="C14" s="22" t="n">
        <f aca="false">IF(INPUT_CashBank!C7&lt;&gt;"",INPUT_CashBank!C7,"")</f>
        <v>25</v>
      </c>
      <c r="D14" s="22" t="str">
        <f aca="false">IF(INPUT_CashBank!D7&lt;&gt;"",INPUT_CashBank!D7,"")</f>
        <v>15-Jun-2026</v>
      </c>
      <c r="E14" s="23" t="str">
        <f aca="false">IF(INPUT_CashBank!E7&lt;&gt;"",INPUT_CashBank!E7,"")</f>
        <v>Parliament Street, New Delhi</v>
      </c>
      <c r="F14" s="21" t="str">
        <f aca="false">IF(INPUT_Deployment!B7&lt;&gt;"",INPUT_Deployment!B7,"")</f>
        <v/>
      </c>
      <c r="G14" s="21" t="str">
        <f aca="false">IF(INPUT_Deployment!C7&lt;&gt;"",INPUT_Deployment!C7,"")</f>
        <v/>
      </c>
      <c r="H14" s="22" t="str">
        <f aca="false">IF(INPUT_Deployment!D7&lt;&gt;"",INPUT_Deployment!D7,"")</f>
        <v/>
      </c>
      <c r="I14" s="23" t="str">
        <f aca="false">IF(INPUT_Deployment!E7&lt;&gt;"",INPUT_Deployment!E7,"")</f>
        <v/>
      </c>
    </row>
    <row r="15" customFormat="false" ht="18" hidden="false" customHeight="true" outlineLevel="0" collapsed="false">
      <c r="B15" s="18" t="str">
        <f aca="false">IF(INPUT_CashBank!B8&lt;&gt;"",INPUT_CashBank!B8,"")</f>
        <v/>
      </c>
      <c r="C15" s="18" t="str">
        <f aca="false">IF(INPUT_CashBank!C8&lt;&gt;"",INPUT_CashBank!C8,"")</f>
        <v/>
      </c>
      <c r="D15" s="19" t="str">
        <f aca="false">IF(INPUT_CashBank!D8&lt;&gt;"",INPUT_CashBank!D8,"")</f>
        <v/>
      </c>
      <c r="E15" s="20" t="str">
        <f aca="false">IF(INPUT_CashBank!E8&lt;&gt;"",INPUT_CashBank!E8,"")</f>
        <v/>
      </c>
      <c r="F15" s="18" t="str">
        <f aca="false">IF(INPUT_Deployment!B8&lt;&gt;"",INPUT_Deployment!B8,"")</f>
        <v/>
      </c>
      <c r="G15" s="18" t="str">
        <f aca="false">IF(INPUT_Deployment!C8&lt;&gt;"",INPUT_Deployment!C8,"")</f>
        <v/>
      </c>
      <c r="H15" s="19" t="str">
        <f aca="false">IF(INPUT_Deployment!D8&lt;&gt;"",INPUT_Deployment!D8,"")</f>
        <v/>
      </c>
      <c r="I15" s="20" t="str">
        <f aca="false">IF(INPUT_Deployment!E8&lt;&gt;"",INPUT_Deployment!E8,"")</f>
        <v/>
      </c>
    </row>
    <row r="16" customFormat="false" ht="18" hidden="false" customHeight="true" outlineLevel="0" collapsed="false">
      <c r="B16" s="21" t="str">
        <f aca="false">IF(INPUT_CashBank!B9&lt;&gt;"",INPUT_CashBank!B9,"")</f>
        <v/>
      </c>
      <c r="C16" s="21" t="str">
        <f aca="false">IF(INPUT_CashBank!C9&lt;&gt;"",INPUT_CashBank!C9,"")</f>
        <v/>
      </c>
      <c r="D16" s="22" t="str">
        <f aca="false">IF(INPUT_CashBank!D9&lt;&gt;"",INPUT_CashBank!D9,"")</f>
        <v/>
      </c>
      <c r="E16" s="23" t="str">
        <f aca="false">IF(INPUT_CashBank!E9&lt;&gt;"",INPUT_CashBank!E9,"")</f>
        <v/>
      </c>
      <c r="F16" s="21" t="str">
        <f aca="false">IF(INPUT_Deployment!B9&lt;&gt;"",INPUT_Deployment!B9,"")</f>
        <v/>
      </c>
      <c r="G16" s="21" t="str">
        <f aca="false">IF(INPUT_Deployment!C9&lt;&gt;"",INPUT_Deployment!C9,"")</f>
        <v/>
      </c>
      <c r="H16" s="22" t="str">
        <f aca="false">IF(INPUT_Deployment!D9&lt;&gt;"",INPUT_Deployment!D9,"")</f>
        <v/>
      </c>
      <c r="I16" s="23" t="str">
        <f aca="false">IF(INPUT_Deployment!E9&lt;&gt;"",INPUT_Deployment!E9,"")</f>
        <v/>
      </c>
    </row>
    <row r="17" customFormat="false" ht="18" hidden="false" customHeight="true" outlineLevel="0" collapsed="false">
      <c r="B17" s="18" t="str">
        <f aca="false">IF(INPUT_CashBank!B10&lt;&gt;"",INPUT_CashBank!B10,"")</f>
        <v/>
      </c>
      <c r="C17" s="18" t="str">
        <f aca="false">IF(INPUT_CashBank!C10&lt;&gt;"",INPUT_CashBank!C10,"")</f>
        <v/>
      </c>
      <c r="D17" s="19" t="str">
        <f aca="false">IF(INPUT_CashBank!D10&lt;&gt;"",INPUT_CashBank!D10,"")</f>
        <v/>
      </c>
      <c r="E17" s="20" t="str">
        <f aca="false">IF(INPUT_CashBank!E10&lt;&gt;"",INPUT_CashBank!E10,"")</f>
        <v/>
      </c>
      <c r="F17" s="18" t="str">
        <f aca="false">IF(INPUT_Deployment!B10&lt;&gt;"",INPUT_Deployment!B10,"")</f>
        <v/>
      </c>
      <c r="G17" s="18" t="str">
        <f aca="false">IF(INPUT_Deployment!C10&lt;&gt;"",INPUT_Deployment!C10,"")</f>
        <v/>
      </c>
      <c r="H17" s="19" t="str">
        <f aca="false">IF(INPUT_Deployment!D10&lt;&gt;"",INPUT_Deployment!D10,"")</f>
        <v/>
      </c>
      <c r="I17" s="20" t="str">
        <f aca="false">IF(INPUT_Deployment!E10&lt;&gt;"",INPUT_Deployment!E10,"")</f>
        <v/>
      </c>
    </row>
    <row r="18" customFormat="false" ht="18" hidden="false" customHeight="true" outlineLevel="0" collapsed="false">
      <c r="B18" s="21" t="str">
        <f aca="false">IF(INPUT_CashBank!B11&lt;&gt;"",INPUT_CashBank!B11,"")</f>
        <v/>
      </c>
      <c r="C18" s="21" t="str">
        <f aca="false">IF(INPUT_CashBank!C11&lt;&gt;"",INPUT_CashBank!C11,"")</f>
        <v/>
      </c>
      <c r="D18" s="22" t="str">
        <f aca="false">IF(INPUT_CashBank!D11&lt;&gt;"",INPUT_CashBank!D11,"")</f>
        <v/>
      </c>
      <c r="E18" s="23" t="str">
        <f aca="false">IF(INPUT_CashBank!E11&lt;&gt;"",INPUT_CashBank!E11,"")</f>
        <v/>
      </c>
      <c r="F18" s="21" t="str">
        <f aca="false">IF(INPUT_Deployment!B11&lt;&gt;"",INPUT_Deployment!B11,"")</f>
        <v/>
      </c>
      <c r="G18" s="21" t="str">
        <f aca="false">IF(INPUT_Deployment!C11&lt;&gt;"",INPUT_Deployment!C11,"")</f>
        <v/>
      </c>
      <c r="H18" s="22" t="str">
        <f aca="false">IF(INPUT_Deployment!D11&lt;&gt;"",INPUT_Deployment!D11,"")</f>
        <v/>
      </c>
      <c r="I18" s="23" t="str">
        <f aca="false">IF(INPUT_Deployment!E11&lt;&gt;"",INPUT_Deployment!E11,"")</f>
        <v/>
      </c>
    </row>
    <row r="19" customFormat="false" ht="19.5" hidden="false" customHeight="true" outlineLevel="0" collapsed="false">
      <c r="B19" s="24" t="s">
        <v>21</v>
      </c>
      <c r="C19" s="25"/>
      <c r="D19" s="26" t="n">
        <f aca="false">SUM(D11:D18)</f>
        <v>0</v>
      </c>
      <c r="E19" s="25"/>
      <c r="F19" s="24" t="s">
        <v>22</v>
      </c>
      <c r="G19" s="25"/>
      <c r="H19" s="26" t="n">
        <f aca="false">SUM(H11:H18)</f>
        <v>0</v>
      </c>
      <c r="I19" s="25"/>
    </row>
    <row r="20" customFormat="false" ht="7.5" hidden="false" customHeight="true" outlineLevel="0" collapsed="false"/>
    <row r="21" customFormat="false" ht="21.75" hidden="false" customHeight="true" outlineLevel="0" collapsed="false">
      <c r="B21" s="27" t="s">
        <v>23</v>
      </c>
      <c r="C21" s="27"/>
      <c r="D21" s="27"/>
      <c r="E21" s="27"/>
      <c r="F21" s="15" t="s">
        <v>24</v>
      </c>
      <c r="G21" s="15"/>
      <c r="H21" s="15"/>
      <c r="I21" s="15"/>
    </row>
    <row r="22" customFormat="false" ht="15" hidden="false" customHeight="false" outlineLevel="0" collapsed="false">
      <c r="B22" s="17" t="s">
        <v>25</v>
      </c>
      <c r="C22" s="17" t="s">
        <v>26</v>
      </c>
      <c r="D22" s="17" t="s">
        <v>27</v>
      </c>
      <c r="E22" s="17" t="s">
        <v>28</v>
      </c>
      <c r="F22" s="17" t="s">
        <v>29</v>
      </c>
      <c r="G22" s="17" t="s">
        <v>30</v>
      </c>
      <c r="H22" s="17" t="s">
        <v>31</v>
      </c>
      <c r="I22" s="17" t="s">
        <v>20</v>
      </c>
    </row>
    <row r="23" customFormat="false" ht="18" hidden="false" customHeight="true" outlineLevel="0" collapsed="false">
      <c r="B23" s="18" t="str">
        <f aca="false">IF(INPUT_MutualFund!B4&lt;&gt;"",INPUT_MutualFund!B4,"")</f>
        <v>AMC</v>
      </c>
      <c r="C23" s="28" t="str">
        <f aca="false">IF(INPUT_MutualFund!C4&lt;&gt;"",INPUT_MutualFund!C4,"")</f>
        <v>Units Held</v>
      </c>
      <c r="D23" s="29" t="str">
        <f aca="false">IF(INPUT_MutualFund!D4&lt;&gt;"",INPUT_MutualFund!D4,"")</f>
        <v>Latest NAV (₹)</v>
      </c>
      <c r="E23" s="19" t="str">
        <f aca="false">IF(INPUT_MutualFund!E4&lt;&gt;"",INPUT_MutualFund!E4,"")</f>
        <v>Market Value (₹ Cr)</v>
      </c>
      <c r="F23" s="18" t="str">
        <f aca="false">IF(INPUT_Drawdown!B4&lt;&gt;"",INPUT_Drawdown!B4,"")</f>
        <v>Investor Class</v>
      </c>
      <c r="G23" s="18" t="str">
        <f aca="false">IF(INPUT_Drawdown!C4&lt;&gt;"",INPUT_Drawdown!C4,"")</f>
        <v>Drawdown Notice No.</v>
      </c>
      <c r="H23" s="19" t="str">
        <f aca="false">IF(INPUT_Drawdown!D4&lt;&gt;"",INPUT_Drawdown!D4,"")</f>
        <v>Drawdown Amount (₹ Cr)</v>
      </c>
      <c r="I23" s="20" t="str">
        <f aca="false">IF(INPUT_Drawdown!E4&lt;&gt;"",INPUT_Drawdown!E4,"")</f>
        <v>Notice Date</v>
      </c>
    </row>
    <row r="24" customFormat="false" ht="18" hidden="false" customHeight="true" outlineLevel="0" collapsed="false">
      <c r="B24" s="30" t="str">
        <f aca="false">IF(INPUT_MutualFund!B5&lt;&gt;"",INPUT_MutualFund!B5,"")</f>
        <v>HDFC AMC</v>
      </c>
      <c r="C24" s="31" t="n">
        <f aca="false">IF(INPUT_MutualFund!C5&lt;&gt;"",INPUT_MutualFund!C5,"")</f>
        <v>125000</v>
      </c>
      <c r="D24" s="32" t="n">
        <f aca="false">IF(INPUT_MutualFund!D5&lt;&gt;"",INPUT_MutualFund!D5,"")</f>
        <v>3847.52</v>
      </c>
      <c r="E24" s="33" t="n">
        <f aca="false">IF(INPUT_MutualFund!E5&lt;&gt;"",INPUT_MutualFund!E5,"")</f>
        <v>48.094</v>
      </c>
      <c r="F24" s="34" t="str">
        <f aca="false">IF(INPUT_Drawdown!B5&lt;&gt;"",INPUT_Drawdown!B5,"")</f>
        <v/>
      </c>
      <c r="G24" s="34" t="str">
        <f aca="false">IF(INPUT_Drawdown!C5&lt;&gt;"",INPUT_Drawdown!C5,"")</f>
        <v/>
      </c>
      <c r="H24" s="35" t="str">
        <f aca="false">IF(INPUT_Drawdown!D5&lt;&gt;"",INPUT_Drawdown!D5,"")</f>
        <v/>
      </c>
      <c r="I24" s="36" t="str">
        <f aca="false">IF(INPUT_Drawdown!E5&lt;&gt;"",INPUT_Drawdown!E5,"")</f>
        <v/>
      </c>
    </row>
    <row r="25" customFormat="false" ht="18" hidden="false" customHeight="true" outlineLevel="0" collapsed="false">
      <c r="B25" s="18" t="str">
        <f aca="false">IF(INPUT_MutualFund!B6&lt;&gt;"",INPUT_MutualFund!B6,"")</f>
        <v>Nippon AMC</v>
      </c>
      <c r="C25" s="28" t="n">
        <f aca="false">IF(INPUT_MutualFund!C6&lt;&gt;"",INPUT_MutualFund!C6,"")</f>
        <v>88000</v>
      </c>
      <c r="D25" s="29" t="n">
        <f aca="false">IF(INPUT_MutualFund!D6&lt;&gt;"",INPUT_MutualFund!D6,"")</f>
        <v>1215.34</v>
      </c>
      <c r="E25" s="19" t="n">
        <f aca="false">IF(INPUT_MutualFund!E6&lt;&gt;"",INPUT_MutualFund!E6,"")</f>
        <v>10.694992</v>
      </c>
      <c r="F25" s="18" t="str">
        <f aca="false">IF(INPUT_Drawdown!B6&lt;&gt;"",INPUT_Drawdown!B6,"")</f>
        <v/>
      </c>
      <c r="G25" s="18" t="str">
        <f aca="false">IF(INPUT_Drawdown!C6&lt;&gt;"",INPUT_Drawdown!C6,"")</f>
        <v/>
      </c>
      <c r="H25" s="19" t="str">
        <f aca="false">IF(INPUT_Drawdown!D6&lt;&gt;"",INPUT_Drawdown!D6,"")</f>
        <v/>
      </c>
      <c r="I25" s="20" t="str">
        <f aca="false">IF(INPUT_Drawdown!E6&lt;&gt;"",INPUT_Drawdown!E6,"")</f>
        <v/>
      </c>
    </row>
    <row r="26" customFormat="false" ht="18" hidden="false" customHeight="true" outlineLevel="0" collapsed="false">
      <c r="B26" s="30" t="str">
        <f aca="false">IF(INPUT_MutualFund!B7&lt;&gt;"",INPUT_MutualFund!B7,"")</f>
        <v/>
      </c>
      <c r="C26" s="31" t="str">
        <f aca="false">IF(INPUT_MutualFund!C7&lt;&gt;"",INPUT_MutualFund!C7,"")</f>
        <v/>
      </c>
      <c r="D26" s="32" t="str">
        <f aca="false">IF(INPUT_MutualFund!D7&lt;&gt;"",INPUT_MutualFund!D7,"")</f>
        <v/>
      </c>
      <c r="E26" s="33" t="str">
        <f aca="false">IF(INPUT_MutualFund!E7&lt;&gt;"",INPUT_MutualFund!E7,"")</f>
        <v/>
      </c>
      <c r="F26" s="34" t="str">
        <f aca="false">IF(INPUT_Drawdown!B7&lt;&gt;"",INPUT_Drawdown!B7,"")</f>
        <v/>
      </c>
      <c r="G26" s="34" t="str">
        <f aca="false">IF(INPUT_Drawdown!C7&lt;&gt;"",INPUT_Drawdown!C7,"")</f>
        <v/>
      </c>
      <c r="H26" s="35" t="str">
        <f aca="false">IF(INPUT_Drawdown!D7&lt;&gt;"",INPUT_Drawdown!D7,"")</f>
        <v/>
      </c>
      <c r="I26" s="36" t="str">
        <f aca="false">IF(INPUT_Drawdown!E7&lt;&gt;"",INPUT_Drawdown!E7,"")</f>
        <v/>
      </c>
    </row>
    <row r="27" customFormat="false" ht="18" hidden="false" customHeight="true" outlineLevel="0" collapsed="false">
      <c r="B27" s="18" t="str">
        <f aca="false">IF(INPUT_MutualFund!B8&lt;&gt;"",INPUT_MutualFund!B8,"")</f>
        <v/>
      </c>
      <c r="C27" s="28" t="str">
        <f aca="false">IF(INPUT_MutualFund!C8&lt;&gt;"",INPUT_MutualFund!C8,"")</f>
        <v/>
      </c>
      <c r="D27" s="29" t="str">
        <f aca="false">IF(INPUT_MutualFund!D8&lt;&gt;"",INPUT_MutualFund!D8,"")</f>
        <v/>
      </c>
      <c r="E27" s="19" t="str">
        <f aca="false">IF(INPUT_MutualFund!E8&lt;&gt;"",INPUT_MutualFund!E8,"")</f>
        <v/>
      </c>
      <c r="F27" s="18" t="str">
        <f aca="false">IF(INPUT_Drawdown!B8&lt;&gt;"",INPUT_Drawdown!B8,"")</f>
        <v/>
      </c>
      <c r="G27" s="18" t="str">
        <f aca="false">IF(INPUT_Drawdown!C8&lt;&gt;"",INPUT_Drawdown!C8,"")</f>
        <v/>
      </c>
      <c r="H27" s="19" t="str">
        <f aca="false">IF(INPUT_Drawdown!D8&lt;&gt;"",INPUT_Drawdown!D8,"")</f>
        <v/>
      </c>
      <c r="I27" s="20" t="str">
        <f aca="false">IF(INPUT_Drawdown!E8&lt;&gt;"",INPUT_Drawdown!E8,"")</f>
        <v/>
      </c>
    </row>
    <row r="28" customFormat="false" ht="18" hidden="false" customHeight="true" outlineLevel="0" collapsed="false">
      <c r="B28" s="30" t="str">
        <f aca="false">IF(INPUT_MutualFund!B9&lt;&gt;"",INPUT_MutualFund!B9,"")</f>
        <v/>
      </c>
      <c r="C28" s="31" t="str">
        <f aca="false">IF(INPUT_MutualFund!C9&lt;&gt;"",INPUT_MutualFund!C9,"")</f>
        <v/>
      </c>
      <c r="D28" s="32" t="str">
        <f aca="false">IF(INPUT_MutualFund!D9&lt;&gt;"",INPUT_MutualFund!D9,"")</f>
        <v/>
      </c>
      <c r="E28" s="33" t="str">
        <f aca="false">IF(INPUT_MutualFund!E9&lt;&gt;"",INPUT_MutualFund!E9,"")</f>
        <v/>
      </c>
      <c r="F28" s="34" t="str">
        <f aca="false">IF(INPUT_Drawdown!B9&lt;&gt;"",INPUT_Drawdown!B9,"")</f>
        <v/>
      </c>
      <c r="G28" s="34" t="str">
        <f aca="false">IF(INPUT_Drawdown!C9&lt;&gt;"",INPUT_Drawdown!C9,"")</f>
        <v/>
      </c>
      <c r="H28" s="35" t="str">
        <f aca="false">IF(INPUT_Drawdown!D9&lt;&gt;"",INPUT_Drawdown!D9,"")</f>
        <v/>
      </c>
      <c r="I28" s="36" t="str">
        <f aca="false">IF(INPUT_Drawdown!E9&lt;&gt;"",INPUT_Drawdown!E9,"")</f>
        <v/>
      </c>
    </row>
    <row r="29" customFormat="false" ht="18" hidden="false" customHeight="true" outlineLevel="0" collapsed="false">
      <c r="B29" s="18" t="str">
        <f aca="false">IF(INPUT_MutualFund!B10&lt;&gt;"",INPUT_MutualFund!B10,"")</f>
        <v/>
      </c>
      <c r="C29" s="28" t="str">
        <f aca="false">IF(INPUT_MutualFund!C10&lt;&gt;"",INPUT_MutualFund!C10,"")</f>
        <v/>
      </c>
      <c r="D29" s="29" t="str">
        <f aca="false">IF(INPUT_MutualFund!D10&lt;&gt;"",INPUT_MutualFund!D10,"")</f>
        <v/>
      </c>
      <c r="E29" s="19" t="str">
        <f aca="false">IF(INPUT_MutualFund!E10&lt;&gt;"",INPUT_MutualFund!E10,"")</f>
        <v/>
      </c>
      <c r="F29" s="18" t="str">
        <f aca="false">IF(INPUT_Drawdown!B10&lt;&gt;"",INPUT_Drawdown!B10,"")</f>
        <v/>
      </c>
      <c r="G29" s="18" t="str">
        <f aca="false">IF(INPUT_Drawdown!C10&lt;&gt;"",INPUT_Drawdown!C10,"")</f>
        <v/>
      </c>
      <c r="H29" s="19" t="str">
        <f aca="false">IF(INPUT_Drawdown!D10&lt;&gt;"",INPUT_Drawdown!D10,"")</f>
        <v/>
      </c>
      <c r="I29" s="20" t="str">
        <f aca="false">IF(INPUT_Drawdown!E10&lt;&gt;"",INPUT_Drawdown!E10,"")</f>
        <v/>
      </c>
    </row>
    <row r="30" customFormat="false" ht="18" hidden="false" customHeight="true" outlineLevel="0" collapsed="false">
      <c r="B30" s="30" t="str">
        <f aca="false">IF(INPUT_MutualFund!B11&lt;&gt;"",INPUT_MutualFund!B11,"")</f>
        <v/>
      </c>
      <c r="C30" s="31" t="str">
        <f aca="false">IF(INPUT_MutualFund!C11&lt;&gt;"",INPUT_MutualFund!C11,"")</f>
        <v/>
      </c>
      <c r="D30" s="32" t="str">
        <f aca="false">IF(INPUT_MutualFund!D11&lt;&gt;"",INPUT_MutualFund!D11,"")</f>
        <v/>
      </c>
      <c r="E30" s="33" t="str">
        <f aca="false">IF(INPUT_MutualFund!E11&lt;&gt;"",INPUT_MutualFund!E11,"")</f>
        <v/>
      </c>
      <c r="F30" s="34" t="str">
        <f aca="false">IF(INPUT_Drawdown!B11&lt;&gt;"",INPUT_Drawdown!B11,"")</f>
        <v/>
      </c>
      <c r="G30" s="34" t="str">
        <f aca="false">IF(INPUT_Drawdown!C11&lt;&gt;"",INPUT_Drawdown!C11,"")</f>
        <v/>
      </c>
      <c r="H30" s="35" t="str">
        <f aca="false">IF(INPUT_Drawdown!D11&lt;&gt;"",INPUT_Drawdown!D11,"")</f>
        <v/>
      </c>
      <c r="I30" s="36" t="str">
        <f aca="false">IF(INPUT_Drawdown!E11&lt;&gt;"",INPUT_Drawdown!E11,"")</f>
        <v/>
      </c>
    </row>
    <row r="31" customFormat="false" ht="19.5" hidden="false" customHeight="true" outlineLevel="0" collapsed="false">
      <c r="B31" s="37" t="s">
        <v>32</v>
      </c>
      <c r="C31" s="38"/>
      <c r="D31" s="38"/>
      <c r="E31" s="39" t="n">
        <f aca="false">SUM(E23:E30)</f>
        <v>58.788992</v>
      </c>
      <c r="F31" s="24" t="s">
        <v>33</v>
      </c>
      <c r="G31" s="25"/>
      <c r="H31" s="26" t="n">
        <f aca="false">SUM(H23:H30)</f>
        <v>0</v>
      </c>
      <c r="I31" s="25"/>
    </row>
    <row r="32" customFormat="false" ht="7.5" hidden="false" customHeight="true" outlineLevel="0" collapsed="false"/>
    <row r="33" customFormat="false" ht="21.75" hidden="false" customHeight="true" outlineLevel="0" collapsed="false">
      <c r="B33" s="40" t="s">
        <v>34</v>
      </c>
      <c r="C33" s="40"/>
      <c r="D33" s="40"/>
      <c r="E33" s="40"/>
      <c r="F33" s="40"/>
      <c r="G33" s="40"/>
      <c r="H33" s="40"/>
    </row>
    <row r="34" customFormat="false" ht="15" hidden="false" customHeight="false" outlineLevel="0" collapsed="false">
      <c r="B34" s="17" t="s">
        <v>35</v>
      </c>
      <c r="C34" s="17" t="s">
        <v>36</v>
      </c>
      <c r="D34" s="17" t="s">
        <v>37</v>
      </c>
      <c r="E34" s="17" t="s">
        <v>38</v>
      </c>
      <c r="F34" s="17" t="s">
        <v>39</v>
      </c>
      <c r="G34" s="17" t="s">
        <v>40</v>
      </c>
      <c r="H34" s="17" t="s">
        <v>41</v>
      </c>
    </row>
    <row r="35" customFormat="false" ht="30" hidden="false" customHeight="true" outlineLevel="0" collapsed="false">
      <c r="B35" s="41" t="n">
        <f aca="false">COUNTIF(INPUT_Pipeline!G5:G104,"Discussion")</f>
        <v>0</v>
      </c>
      <c r="C35" s="42" t="n">
        <f aca="false">COUNTIF(INPUT_Pipeline!G5:G104,"KYC")</f>
        <v>0</v>
      </c>
      <c r="D35" s="41" t="n">
        <f aca="false">COUNTIF(INPUT_Pipeline!G5:G104,"Confirmed")</f>
        <v>0</v>
      </c>
      <c r="E35" s="42" t="n">
        <f aca="false">COUNTIF(INPUT_Pipeline!G5:G104,"Due Diligence")</f>
        <v>0</v>
      </c>
      <c r="F35" s="41" t="n">
        <f aca="false">COUNTIF(INPUT_Pipeline!G5:G104,"KYC Completed")</f>
        <v>0</v>
      </c>
      <c r="G35" s="42" t="n">
        <f aca="false">COUNTIF(INPUT_Pipeline!G5:G104,"CA Signing")</f>
        <v>0</v>
      </c>
      <c r="H35" s="41" t="n">
        <f aca="false">COUNTIF(INPUT_Pipeline!G5:G104,"Drawdown Issued")</f>
        <v>0</v>
      </c>
    </row>
    <row r="36" customFormat="false" ht="21.75" hidden="false" customHeight="true" outlineLevel="0" collapsed="false">
      <c r="B36" s="43" t="n">
        <f aca="false">COUNTIF(INPUT_Pipeline!G5:G104,"Fund Received")</f>
        <v>0</v>
      </c>
      <c r="C36" s="44" t="s">
        <v>42</v>
      </c>
      <c r="D36" s="44"/>
      <c r="E36" s="44"/>
      <c r="F36" s="44"/>
      <c r="G36" s="44"/>
      <c r="H36" s="44"/>
    </row>
    <row r="37" customFormat="false" ht="6" hidden="false" customHeight="true" outlineLevel="0" collapsed="false"/>
    <row r="38" customFormat="false" ht="15.75" hidden="false" customHeight="true" outlineLevel="0" collapsed="false">
      <c r="B38" s="45" t="s">
        <v>43</v>
      </c>
      <c r="C38" s="45"/>
      <c r="D38" s="45"/>
      <c r="E38" s="45"/>
      <c r="F38" s="45"/>
      <c r="G38" s="45"/>
      <c r="H38" s="45"/>
      <c r="I38" s="45"/>
    </row>
  </sheetData>
  <mergeCells count="9">
    <mergeCell ref="B1:I1"/>
    <mergeCell ref="B2:I2"/>
    <mergeCell ref="B9:E9"/>
    <mergeCell ref="F9:I9"/>
    <mergeCell ref="B21:E21"/>
    <mergeCell ref="F21:I21"/>
    <mergeCell ref="B33:H33"/>
    <mergeCell ref="C36:H36"/>
    <mergeCell ref="B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27.75" hidden="false" customHeight="true" outlineLevel="0" collapsed="false">
      <c r="A1" s="46" t="s">
        <v>44</v>
      </c>
      <c r="B1" s="46"/>
      <c r="C1" s="46"/>
      <c r="D1" s="46"/>
      <c r="E1" s="46"/>
      <c r="F1" s="46"/>
      <c r="G1" s="46"/>
      <c r="H1" s="46"/>
      <c r="I1" s="46"/>
    </row>
    <row r="2" customFormat="false" ht="18" hidden="false" customHeight="true" outlineLevel="0" collapsed="false">
      <c r="A2" s="47" t="s">
        <v>45</v>
      </c>
      <c r="B2" s="47"/>
      <c r="C2" s="47"/>
      <c r="D2" s="47"/>
      <c r="E2" s="47"/>
      <c r="F2" s="47"/>
      <c r="G2" s="47"/>
      <c r="H2" s="47"/>
      <c r="I2" s="47"/>
    </row>
    <row r="3" customFormat="false" ht="21.75" hidden="false" customHeight="true" outlineLevel="0" collapsed="false">
      <c r="A3" s="48" t="s">
        <v>46</v>
      </c>
      <c r="B3" s="48"/>
      <c r="C3" s="49" t="n">
        <f aca="false">SUM(C5:C24)</f>
        <v>41.3</v>
      </c>
    </row>
    <row r="4" customFormat="false" ht="30" hidden="false" customHeight="true" outlineLevel="0" collapsed="false">
      <c r="A4" s="50" t="s">
        <v>47</v>
      </c>
      <c r="B4" s="50" t="s">
        <v>48</v>
      </c>
      <c r="C4" s="50" t="s">
        <v>15</v>
      </c>
      <c r="D4" s="50" t="s">
        <v>16</v>
      </c>
      <c r="E4" s="50" t="s">
        <v>49</v>
      </c>
      <c r="F4" s="50" t="s">
        <v>50</v>
      </c>
      <c r="G4" s="50" t="s">
        <v>51</v>
      </c>
      <c r="H4" s="50" t="s">
        <v>52</v>
      </c>
    </row>
    <row r="5" customFormat="false" ht="18" hidden="false" customHeight="true" outlineLevel="0" collapsed="false">
      <c r="A5" s="18" t="s">
        <v>53</v>
      </c>
      <c r="B5" s="18" t="s">
        <v>54</v>
      </c>
      <c r="C5" s="19" t="n">
        <v>12.5</v>
      </c>
      <c r="D5" s="20" t="s">
        <v>55</v>
      </c>
      <c r="E5" s="18" t="s">
        <v>56</v>
      </c>
      <c r="F5" s="18" t="s">
        <v>57</v>
      </c>
      <c r="G5" s="18" t="s">
        <v>58</v>
      </c>
      <c r="H5" s="18" t="s">
        <v>59</v>
      </c>
    </row>
    <row r="6" customFormat="false" ht="18" hidden="false" customHeight="true" outlineLevel="0" collapsed="false">
      <c r="A6" s="21" t="s">
        <v>60</v>
      </c>
      <c r="B6" s="21" t="s">
        <v>54</v>
      </c>
      <c r="C6" s="22" t="n">
        <v>3.8</v>
      </c>
      <c r="D6" s="23" t="s">
        <v>55</v>
      </c>
      <c r="E6" s="21" t="s">
        <v>61</v>
      </c>
      <c r="F6" s="21" t="s">
        <v>62</v>
      </c>
      <c r="G6" s="21" t="s">
        <v>63</v>
      </c>
      <c r="H6" s="21" t="s">
        <v>64</v>
      </c>
    </row>
    <row r="7" customFormat="false" ht="18" hidden="false" customHeight="true" outlineLevel="0" collapsed="false">
      <c r="A7" s="18" t="s">
        <v>65</v>
      </c>
      <c r="B7" s="18" t="s">
        <v>66</v>
      </c>
      <c r="C7" s="19" t="n">
        <v>25</v>
      </c>
      <c r="D7" s="20" t="s">
        <v>67</v>
      </c>
      <c r="E7" s="18" t="s">
        <v>68</v>
      </c>
      <c r="F7" s="18" t="s">
        <v>69</v>
      </c>
      <c r="G7" s="18" t="s">
        <v>70</v>
      </c>
      <c r="H7" s="18" t="s">
        <v>71</v>
      </c>
    </row>
    <row r="8" customFormat="false" ht="18" hidden="false" customHeight="true" outlineLevel="0" collapsed="false">
      <c r="A8" s="21"/>
      <c r="B8" s="21"/>
      <c r="C8" s="22"/>
      <c r="D8" s="23"/>
      <c r="E8" s="21"/>
      <c r="F8" s="21"/>
      <c r="G8" s="21"/>
      <c r="H8" s="21"/>
    </row>
    <row r="9" customFormat="false" ht="18" hidden="false" customHeight="true" outlineLevel="0" collapsed="false">
      <c r="A9" s="18"/>
      <c r="B9" s="18"/>
      <c r="C9" s="19"/>
      <c r="D9" s="20"/>
      <c r="E9" s="18"/>
      <c r="F9" s="18"/>
      <c r="G9" s="18"/>
      <c r="H9" s="18"/>
    </row>
    <row r="10" customFormat="false" ht="18" hidden="false" customHeight="true" outlineLevel="0" collapsed="false">
      <c r="A10" s="21"/>
      <c r="B10" s="21"/>
      <c r="C10" s="22"/>
      <c r="D10" s="23"/>
      <c r="E10" s="21"/>
      <c r="F10" s="21"/>
      <c r="G10" s="21"/>
      <c r="H10" s="21"/>
    </row>
    <row r="11" customFormat="false" ht="18" hidden="false" customHeight="true" outlineLevel="0" collapsed="false">
      <c r="A11" s="18"/>
      <c r="B11" s="18"/>
      <c r="C11" s="19"/>
      <c r="D11" s="20"/>
      <c r="E11" s="18"/>
      <c r="F11" s="18"/>
      <c r="G11" s="18"/>
      <c r="H11" s="18"/>
    </row>
    <row r="12" customFormat="false" ht="18" hidden="false" customHeight="true" outlineLevel="0" collapsed="false">
      <c r="A12" s="21"/>
      <c r="B12" s="21"/>
      <c r="C12" s="22"/>
      <c r="D12" s="23"/>
      <c r="E12" s="21"/>
      <c r="F12" s="21"/>
      <c r="G12" s="21"/>
      <c r="H12" s="21"/>
    </row>
    <row r="13" customFormat="false" ht="18" hidden="false" customHeight="true" outlineLevel="0" collapsed="false">
      <c r="A13" s="18"/>
      <c r="B13" s="18"/>
      <c r="C13" s="19"/>
      <c r="D13" s="20"/>
      <c r="E13" s="18"/>
      <c r="F13" s="18"/>
      <c r="G13" s="18"/>
      <c r="H13" s="18"/>
    </row>
    <row r="14" customFormat="false" ht="18" hidden="false" customHeight="true" outlineLevel="0" collapsed="false">
      <c r="A14" s="21"/>
      <c r="B14" s="21"/>
      <c r="C14" s="22"/>
      <c r="D14" s="23"/>
      <c r="E14" s="21"/>
      <c r="F14" s="21"/>
      <c r="G14" s="21"/>
      <c r="H14" s="21"/>
    </row>
    <row r="15" customFormat="false" ht="18" hidden="false" customHeight="true" outlineLevel="0" collapsed="false">
      <c r="A15" s="18"/>
      <c r="B15" s="18"/>
      <c r="C15" s="19"/>
      <c r="D15" s="20"/>
      <c r="E15" s="18"/>
      <c r="F15" s="18"/>
      <c r="G15" s="18"/>
      <c r="H15" s="18"/>
    </row>
    <row r="16" customFormat="false" ht="18" hidden="false" customHeight="true" outlineLevel="0" collapsed="false">
      <c r="A16" s="21"/>
      <c r="B16" s="21"/>
      <c r="C16" s="22"/>
      <c r="D16" s="23"/>
      <c r="E16" s="21"/>
      <c r="F16" s="21"/>
      <c r="G16" s="21"/>
      <c r="H16" s="21"/>
    </row>
    <row r="17" customFormat="false" ht="18" hidden="false" customHeight="true" outlineLevel="0" collapsed="false">
      <c r="A17" s="18"/>
      <c r="B17" s="18"/>
      <c r="C17" s="19"/>
      <c r="D17" s="20"/>
      <c r="E17" s="18"/>
      <c r="F17" s="18"/>
      <c r="G17" s="18"/>
      <c r="H17" s="18"/>
    </row>
    <row r="18" customFormat="false" ht="18" hidden="false" customHeight="true" outlineLevel="0" collapsed="false">
      <c r="A18" s="21"/>
      <c r="B18" s="21"/>
      <c r="C18" s="22"/>
      <c r="D18" s="23"/>
      <c r="E18" s="21"/>
      <c r="F18" s="21"/>
      <c r="G18" s="21"/>
      <c r="H18" s="21"/>
    </row>
    <row r="19" customFormat="false" ht="18" hidden="false" customHeight="true" outlineLevel="0" collapsed="false">
      <c r="A19" s="18"/>
      <c r="B19" s="18"/>
      <c r="C19" s="19"/>
      <c r="D19" s="20"/>
      <c r="E19" s="18"/>
      <c r="F19" s="18"/>
      <c r="G19" s="18"/>
      <c r="H19" s="18"/>
    </row>
    <row r="20" customFormat="false" ht="18" hidden="false" customHeight="true" outlineLevel="0" collapsed="false">
      <c r="A20" s="21"/>
      <c r="B20" s="21"/>
      <c r="C20" s="22"/>
      <c r="D20" s="23"/>
      <c r="E20" s="21"/>
      <c r="F20" s="21"/>
      <c r="G20" s="21"/>
      <c r="H20" s="21"/>
    </row>
    <row r="21" customFormat="false" ht="18" hidden="false" customHeight="true" outlineLevel="0" collapsed="false">
      <c r="A21" s="18"/>
      <c r="B21" s="18"/>
      <c r="C21" s="19"/>
      <c r="D21" s="20"/>
      <c r="E21" s="18"/>
      <c r="F21" s="18"/>
      <c r="G21" s="18"/>
      <c r="H21" s="18"/>
    </row>
    <row r="22" customFormat="false" ht="18" hidden="false" customHeight="true" outlineLevel="0" collapsed="false">
      <c r="A22" s="21"/>
      <c r="B22" s="21"/>
      <c r="C22" s="22"/>
      <c r="D22" s="23"/>
      <c r="E22" s="21"/>
      <c r="F22" s="21"/>
      <c r="G22" s="21"/>
      <c r="H22" s="21"/>
    </row>
    <row r="23" customFormat="false" ht="18" hidden="false" customHeight="true" outlineLevel="0" collapsed="false">
      <c r="A23" s="18"/>
      <c r="B23" s="18"/>
      <c r="C23" s="19"/>
      <c r="D23" s="20"/>
      <c r="E23" s="18"/>
      <c r="F23" s="18"/>
      <c r="G23" s="18"/>
      <c r="H23" s="18"/>
    </row>
    <row r="24" customFormat="false" ht="18" hidden="false" customHeight="true" outlineLevel="0" collapsed="false">
      <c r="A24" s="21"/>
      <c r="B24" s="21"/>
      <c r="C24" s="22"/>
      <c r="D24" s="23"/>
      <c r="E24" s="21"/>
      <c r="F24" s="21"/>
      <c r="G24" s="21"/>
      <c r="H24" s="21"/>
    </row>
  </sheetData>
  <mergeCells count="3">
    <mergeCell ref="A1:I1"/>
    <mergeCell ref="A2:I2"/>
    <mergeCell ref="A3:B3"/>
  </mergeCells>
  <dataValidations count="1">
    <dataValidation allowBlank="true" errorStyle="stop" operator="between" showDropDown="false" showErrorMessage="false" showInputMessage="false" sqref="B5:B24" type="list">
      <formula1>"Current Account,Savings Account,Fixed Deposit,Liquid Fund,Other"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A7A"/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4"/>
  </cols>
  <sheetData>
    <row r="1" customFormat="false" ht="27.75" hidden="false" customHeight="true" outlineLevel="0" collapsed="false">
      <c r="A1" s="46" t="s">
        <v>72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18" hidden="false" customHeight="true" outlineLevel="0" collapsed="false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customFormat="false" ht="21.75" hidden="false" customHeight="true" outlineLevel="0" collapsed="false">
      <c r="A3" s="51" t="s">
        <v>73</v>
      </c>
      <c r="B3" s="51"/>
      <c r="E3" s="52" t="n">
        <f aca="false">SUM(E5:E24)</f>
        <v>58.788992</v>
      </c>
    </row>
    <row r="4" customFormat="false" ht="30" hidden="false" customHeight="true" outlineLevel="0" collapsed="false">
      <c r="A4" s="50" t="s">
        <v>74</v>
      </c>
      <c r="B4" s="50" t="s">
        <v>75</v>
      </c>
      <c r="C4" s="50" t="s">
        <v>26</v>
      </c>
      <c r="D4" s="50" t="s">
        <v>76</v>
      </c>
      <c r="E4" s="50" t="s">
        <v>28</v>
      </c>
      <c r="F4" s="50" t="s">
        <v>77</v>
      </c>
      <c r="G4" s="50" t="s">
        <v>78</v>
      </c>
      <c r="H4" s="50" t="s">
        <v>79</v>
      </c>
      <c r="I4" s="50" t="s">
        <v>80</v>
      </c>
      <c r="J4" s="50" t="s">
        <v>52</v>
      </c>
    </row>
    <row r="5" customFormat="false" ht="18" hidden="false" customHeight="true" outlineLevel="0" collapsed="false">
      <c r="A5" s="18" t="s">
        <v>81</v>
      </c>
      <c r="B5" s="18" t="s">
        <v>82</v>
      </c>
      <c r="C5" s="28" t="n">
        <v>125000</v>
      </c>
      <c r="D5" s="29" t="n">
        <v>3847.52</v>
      </c>
      <c r="E5" s="19" t="n">
        <f aca="false">IF(C5&lt;&gt;"",C5*D5/10000000,"")</f>
        <v>48.094</v>
      </c>
      <c r="F5" s="19" t="n">
        <v>45</v>
      </c>
      <c r="G5" s="19" t="n">
        <f aca="false">IF(E5&lt;&gt;"",E5-F5,"")</f>
        <v>3.094</v>
      </c>
      <c r="H5" s="20" t="s">
        <v>83</v>
      </c>
      <c r="I5" s="18" t="s">
        <v>84</v>
      </c>
      <c r="J5" s="18" t="s">
        <v>85</v>
      </c>
    </row>
    <row r="6" customFormat="false" ht="18" hidden="false" customHeight="true" outlineLevel="0" collapsed="false">
      <c r="A6" s="21" t="s">
        <v>86</v>
      </c>
      <c r="B6" s="21" t="s">
        <v>87</v>
      </c>
      <c r="C6" s="53" t="n">
        <v>88000</v>
      </c>
      <c r="D6" s="54" t="n">
        <v>1215.34</v>
      </c>
      <c r="E6" s="22" t="n">
        <f aca="false">IF(C6&lt;&gt;"",C6*D6/10000000,"")</f>
        <v>10.694992</v>
      </c>
      <c r="F6" s="22" t="n">
        <v>10.2</v>
      </c>
      <c r="G6" s="22" t="n">
        <f aca="false">IF(E6&lt;&gt;"",E6-F6,"")</f>
        <v>0.494992</v>
      </c>
      <c r="H6" s="23" t="s">
        <v>83</v>
      </c>
      <c r="I6" s="21" t="s">
        <v>88</v>
      </c>
      <c r="J6" s="21" t="s">
        <v>89</v>
      </c>
    </row>
    <row r="7" customFormat="false" ht="18" hidden="false" customHeight="true" outlineLevel="0" collapsed="false">
      <c r="A7" s="18"/>
      <c r="B7" s="18"/>
      <c r="C7" s="28"/>
      <c r="D7" s="29"/>
      <c r="E7" s="19"/>
      <c r="F7" s="19"/>
      <c r="G7" s="19" t="str">
        <f aca="false">IF(E7&lt;&gt;"",E7-F7,"")</f>
        <v/>
      </c>
      <c r="H7" s="20"/>
      <c r="I7" s="18"/>
      <c r="J7" s="18"/>
    </row>
    <row r="8" customFormat="false" ht="18" hidden="false" customHeight="true" outlineLevel="0" collapsed="false">
      <c r="A8" s="21"/>
      <c r="B8" s="21"/>
      <c r="C8" s="53"/>
      <c r="D8" s="54"/>
      <c r="E8" s="22"/>
      <c r="F8" s="22"/>
      <c r="G8" s="22" t="str">
        <f aca="false">IF(E8&lt;&gt;"",E8-F8,"")</f>
        <v/>
      </c>
      <c r="H8" s="23"/>
      <c r="I8" s="21"/>
      <c r="J8" s="21"/>
    </row>
    <row r="9" customFormat="false" ht="18" hidden="false" customHeight="true" outlineLevel="0" collapsed="false">
      <c r="A9" s="18"/>
      <c r="B9" s="18"/>
      <c r="C9" s="28"/>
      <c r="D9" s="29"/>
      <c r="E9" s="19"/>
      <c r="F9" s="19"/>
      <c r="G9" s="19" t="str">
        <f aca="false">IF(E9&lt;&gt;"",E9-F9,"")</f>
        <v/>
      </c>
      <c r="H9" s="20"/>
      <c r="I9" s="18"/>
      <c r="J9" s="18"/>
    </row>
    <row r="10" customFormat="false" ht="18" hidden="false" customHeight="true" outlineLevel="0" collapsed="false">
      <c r="A10" s="21"/>
      <c r="B10" s="21"/>
      <c r="C10" s="53"/>
      <c r="D10" s="54"/>
      <c r="E10" s="22"/>
      <c r="F10" s="22"/>
      <c r="G10" s="22" t="str">
        <f aca="false">IF(E10&lt;&gt;"",E10-F10,"")</f>
        <v/>
      </c>
      <c r="H10" s="23"/>
      <c r="I10" s="21"/>
      <c r="J10" s="21"/>
    </row>
    <row r="11" customFormat="false" ht="18" hidden="false" customHeight="true" outlineLevel="0" collapsed="false">
      <c r="A11" s="18"/>
      <c r="B11" s="18"/>
      <c r="C11" s="28"/>
      <c r="D11" s="29"/>
      <c r="E11" s="19"/>
      <c r="F11" s="19"/>
      <c r="G11" s="19" t="str">
        <f aca="false">IF(E11&lt;&gt;"",E11-F11,"")</f>
        <v/>
      </c>
      <c r="H11" s="20"/>
      <c r="I11" s="18"/>
      <c r="J11" s="18"/>
    </row>
    <row r="12" customFormat="false" ht="18" hidden="false" customHeight="true" outlineLevel="0" collapsed="false">
      <c r="A12" s="21"/>
      <c r="B12" s="21"/>
      <c r="C12" s="53"/>
      <c r="D12" s="54"/>
      <c r="E12" s="22"/>
      <c r="F12" s="22"/>
      <c r="G12" s="22" t="str">
        <f aca="false">IF(E12&lt;&gt;"",E12-F12,"")</f>
        <v/>
      </c>
      <c r="H12" s="23"/>
      <c r="I12" s="21"/>
      <c r="J12" s="21"/>
    </row>
    <row r="13" customFormat="false" ht="18" hidden="false" customHeight="true" outlineLevel="0" collapsed="false">
      <c r="A13" s="18"/>
      <c r="B13" s="18"/>
      <c r="C13" s="28"/>
      <c r="D13" s="29"/>
      <c r="E13" s="19"/>
      <c r="F13" s="19"/>
      <c r="G13" s="19" t="str">
        <f aca="false">IF(E13&lt;&gt;"",E13-F13,"")</f>
        <v/>
      </c>
      <c r="H13" s="20"/>
      <c r="I13" s="18"/>
      <c r="J13" s="18"/>
    </row>
    <row r="14" customFormat="false" ht="18" hidden="false" customHeight="true" outlineLevel="0" collapsed="false">
      <c r="A14" s="21"/>
      <c r="B14" s="21"/>
      <c r="C14" s="53"/>
      <c r="D14" s="54"/>
      <c r="E14" s="22"/>
      <c r="F14" s="22"/>
      <c r="G14" s="22" t="str">
        <f aca="false">IF(E14&lt;&gt;"",E14-F14,"")</f>
        <v/>
      </c>
      <c r="H14" s="23"/>
      <c r="I14" s="21"/>
      <c r="J14" s="21"/>
    </row>
    <row r="15" customFormat="false" ht="18" hidden="false" customHeight="true" outlineLevel="0" collapsed="false">
      <c r="A15" s="18"/>
      <c r="B15" s="18"/>
      <c r="C15" s="28"/>
      <c r="D15" s="29"/>
      <c r="E15" s="19"/>
      <c r="F15" s="19"/>
      <c r="G15" s="19" t="str">
        <f aca="false">IF(E15&lt;&gt;"",E15-F15,"")</f>
        <v/>
      </c>
      <c r="H15" s="20"/>
      <c r="I15" s="18"/>
      <c r="J15" s="18"/>
    </row>
    <row r="16" customFormat="false" ht="18" hidden="false" customHeight="true" outlineLevel="0" collapsed="false">
      <c r="A16" s="21"/>
      <c r="B16" s="21"/>
      <c r="C16" s="53"/>
      <c r="D16" s="54"/>
      <c r="E16" s="22"/>
      <c r="F16" s="22"/>
      <c r="G16" s="22" t="str">
        <f aca="false">IF(E16&lt;&gt;"",E16-F16,"")</f>
        <v/>
      </c>
      <c r="H16" s="23"/>
      <c r="I16" s="21"/>
      <c r="J16" s="21"/>
    </row>
    <row r="17" customFormat="false" ht="18" hidden="false" customHeight="true" outlineLevel="0" collapsed="false">
      <c r="A17" s="18"/>
      <c r="B17" s="18"/>
      <c r="C17" s="28"/>
      <c r="D17" s="29"/>
      <c r="E17" s="19"/>
      <c r="F17" s="19"/>
      <c r="G17" s="19" t="str">
        <f aca="false">IF(E17&lt;&gt;"",E17-F17,"")</f>
        <v/>
      </c>
      <c r="H17" s="20"/>
      <c r="I17" s="18"/>
      <c r="J17" s="18"/>
    </row>
    <row r="18" customFormat="false" ht="18" hidden="false" customHeight="true" outlineLevel="0" collapsed="false">
      <c r="A18" s="21"/>
      <c r="B18" s="21"/>
      <c r="C18" s="53"/>
      <c r="D18" s="54"/>
      <c r="E18" s="22"/>
      <c r="F18" s="22"/>
      <c r="G18" s="22" t="str">
        <f aca="false">IF(E18&lt;&gt;"",E18-F18,"")</f>
        <v/>
      </c>
      <c r="H18" s="23"/>
      <c r="I18" s="21"/>
      <c r="J18" s="21"/>
    </row>
    <row r="19" customFormat="false" ht="18" hidden="false" customHeight="true" outlineLevel="0" collapsed="false">
      <c r="A19" s="18"/>
      <c r="B19" s="18"/>
      <c r="C19" s="28"/>
      <c r="D19" s="29"/>
      <c r="E19" s="19"/>
      <c r="F19" s="19"/>
      <c r="G19" s="19" t="str">
        <f aca="false">IF(E19&lt;&gt;"",E19-F19,"")</f>
        <v/>
      </c>
      <c r="H19" s="20"/>
      <c r="I19" s="18"/>
      <c r="J19" s="18"/>
    </row>
    <row r="20" customFormat="false" ht="18" hidden="false" customHeight="true" outlineLevel="0" collapsed="false">
      <c r="A20" s="21"/>
      <c r="B20" s="21"/>
      <c r="C20" s="53"/>
      <c r="D20" s="54"/>
      <c r="E20" s="22"/>
      <c r="F20" s="22"/>
      <c r="G20" s="22" t="str">
        <f aca="false">IF(E20&lt;&gt;"",E20-F20,"")</f>
        <v/>
      </c>
      <c r="H20" s="23"/>
      <c r="I20" s="21"/>
      <c r="J20" s="21"/>
    </row>
    <row r="21" customFormat="false" ht="18" hidden="false" customHeight="true" outlineLevel="0" collapsed="false">
      <c r="A21" s="18"/>
      <c r="B21" s="18"/>
      <c r="C21" s="28"/>
      <c r="D21" s="29"/>
      <c r="E21" s="19"/>
      <c r="F21" s="19"/>
      <c r="G21" s="19" t="str">
        <f aca="false">IF(E21&lt;&gt;"",E21-F21,"")</f>
        <v/>
      </c>
      <c r="H21" s="20"/>
      <c r="I21" s="18"/>
      <c r="J21" s="18"/>
    </row>
    <row r="22" customFormat="false" ht="18" hidden="false" customHeight="true" outlineLevel="0" collapsed="false">
      <c r="A22" s="21"/>
      <c r="B22" s="21"/>
      <c r="C22" s="53"/>
      <c r="D22" s="54"/>
      <c r="E22" s="22"/>
      <c r="F22" s="22"/>
      <c r="G22" s="22" t="str">
        <f aca="false">IF(E22&lt;&gt;"",E22-F22,"")</f>
        <v/>
      </c>
      <c r="H22" s="23"/>
      <c r="I22" s="21"/>
      <c r="J22" s="21"/>
    </row>
    <row r="23" customFormat="false" ht="18" hidden="false" customHeight="true" outlineLevel="0" collapsed="false">
      <c r="A23" s="18"/>
      <c r="B23" s="18"/>
      <c r="C23" s="28"/>
      <c r="D23" s="29"/>
      <c r="E23" s="19"/>
      <c r="F23" s="19"/>
      <c r="G23" s="19" t="str">
        <f aca="false">IF(E23&lt;&gt;"",E23-F23,"")</f>
        <v/>
      </c>
      <c r="H23" s="20"/>
      <c r="I23" s="18"/>
      <c r="J23" s="18"/>
    </row>
    <row r="24" customFormat="false" ht="18" hidden="false" customHeight="true" outlineLevel="0" collapsed="false">
      <c r="A24" s="21"/>
      <c r="B24" s="21"/>
      <c r="C24" s="53"/>
      <c r="D24" s="54"/>
      <c r="E24" s="22"/>
      <c r="F24" s="22"/>
      <c r="G24" s="22" t="str">
        <f aca="false">IF(E24&lt;&gt;"",E24-F24,"")</f>
        <v/>
      </c>
      <c r="H24" s="23"/>
      <c r="I24" s="21"/>
      <c r="J24" s="21"/>
    </row>
  </sheetData>
  <mergeCells count="3">
    <mergeCell ref="A1:K1"/>
    <mergeCell ref="A2:K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46" t="s">
        <v>90</v>
      </c>
      <c r="B1" s="46"/>
      <c r="C1" s="46"/>
      <c r="D1" s="46"/>
      <c r="E1" s="46"/>
      <c r="F1" s="46"/>
      <c r="G1" s="46"/>
      <c r="H1" s="46"/>
      <c r="I1" s="46"/>
      <c r="J1" s="46"/>
    </row>
    <row r="2" customFormat="false" ht="18" hidden="false" customHeight="true" outlineLevel="0" collapsed="false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</row>
    <row r="3" customFormat="false" ht="21.75" hidden="false" customHeight="true" outlineLevel="0" collapsed="false">
      <c r="A3" s="55" t="s">
        <v>91</v>
      </c>
      <c r="B3" s="55"/>
      <c r="C3" s="56" t="n">
        <f aca="false">SUM(C5:C34)</f>
        <v>25</v>
      </c>
    </row>
    <row r="4" customFormat="false" ht="30" hidden="false" customHeight="true" outlineLevel="0" collapsed="false">
      <c r="A4" s="50" t="s">
        <v>92</v>
      </c>
      <c r="B4" s="50" t="s">
        <v>18</v>
      </c>
      <c r="C4" s="50" t="s">
        <v>93</v>
      </c>
      <c r="D4" s="50" t="s">
        <v>94</v>
      </c>
      <c r="E4" s="50" t="s">
        <v>95</v>
      </c>
      <c r="F4" s="50" t="s">
        <v>96</v>
      </c>
      <c r="G4" s="50" t="s">
        <v>97</v>
      </c>
      <c r="H4" s="50" t="s">
        <v>98</v>
      </c>
      <c r="I4" s="50" t="s">
        <v>52</v>
      </c>
    </row>
    <row r="5" customFormat="false" ht="18" hidden="false" customHeight="true" outlineLevel="0" collapsed="false">
      <c r="A5" s="18" t="s">
        <v>99</v>
      </c>
      <c r="B5" s="18" t="s">
        <v>100</v>
      </c>
      <c r="C5" s="19" t="n">
        <v>15</v>
      </c>
      <c r="D5" s="20" t="s">
        <v>101</v>
      </c>
      <c r="E5" s="18" t="s">
        <v>102</v>
      </c>
      <c r="F5" s="18" t="s">
        <v>103</v>
      </c>
      <c r="G5" s="18" t="s">
        <v>104</v>
      </c>
      <c r="H5" s="57" t="n">
        <v>0.22</v>
      </c>
      <c r="I5" s="18" t="s">
        <v>105</v>
      </c>
    </row>
    <row r="6" customFormat="false" ht="18" hidden="false" customHeight="true" outlineLevel="0" collapsed="false">
      <c r="A6" s="21" t="s">
        <v>106</v>
      </c>
      <c r="B6" s="21" t="s">
        <v>107</v>
      </c>
      <c r="C6" s="22" t="n">
        <v>10</v>
      </c>
      <c r="D6" s="23" t="s">
        <v>108</v>
      </c>
      <c r="E6" s="21" t="s">
        <v>109</v>
      </c>
      <c r="F6" s="21" t="s">
        <v>110</v>
      </c>
      <c r="G6" s="21" t="s">
        <v>104</v>
      </c>
      <c r="H6" s="58" t="n">
        <v>0.25</v>
      </c>
      <c r="I6" s="21" t="s">
        <v>111</v>
      </c>
    </row>
    <row r="7" customFormat="false" ht="18" hidden="false" customHeight="true" outlineLevel="0" collapsed="false">
      <c r="A7" s="18"/>
      <c r="B7" s="18"/>
      <c r="C7" s="19"/>
      <c r="D7" s="20"/>
      <c r="E7" s="18"/>
      <c r="F7" s="18"/>
      <c r="G7" s="18"/>
      <c r="H7" s="57"/>
      <c r="I7" s="18"/>
    </row>
    <row r="8" customFormat="false" ht="18" hidden="false" customHeight="true" outlineLevel="0" collapsed="false">
      <c r="A8" s="21"/>
      <c r="B8" s="21"/>
      <c r="C8" s="22"/>
      <c r="D8" s="23"/>
      <c r="E8" s="21"/>
      <c r="F8" s="21"/>
      <c r="G8" s="21"/>
      <c r="H8" s="58"/>
      <c r="I8" s="21"/>
    </row>
    <row r="9" customFormat="false" ht="18" hidden="false" customHeight="true" outlineLevel="0" collapsed="false">
      <c r="A9" s="18"/>
      <c r="B9" s="18"/>
      <c r="C9" s="19"/>
      <c r="D9" s="20"/>
      <c r="E9" s="18"/>
      <c r="F9" s="18"/>
      <c r="G9" s="18"/>
      <c r="H9" s="57"/>
      <c r="I9" s="18"/>
    </row>
    <row r="10" customFormat="false" ht="18" hidden="false" customHeight="true" outlineLevel="0" collapsed="false">
      <c r="A10" s="21"/>
      <c r="B10" s="21"/>
      <c r="C10" s="22"/>
      <c r="D10" s="23"/>
      <c r="E10" s="21"/>
      <c r="F10" s="21"/>
      <c r="G10" s="21"/>
      <c r="H10" s="58"/>
      <c r="I10" s="21"/>
    </row>
    <row r="11" customFormat="false" ht="18" hidden="false" customHeight="true" outlineLevel="0" collapsed="false">
      <c r="A11" s="18"/>
      <c r="B11" s="18"/>
      <c r="C11" s="19"/>
      <c r="D11" s="20"/>
      <c r="E11" s="18"/>
      <c r="F11" s="18"/>
      <c r="G11" s="18"/>
      <c r="H11" s="57"/>
      <c r="I11" s="18"/>
    </row>
    <row r="12" customFormat="false" ht="18" hidden="false" customHeight="true" outlineLevel="0" collapsed="false">
      <c r="A12" s="21"/>
      <c r="B12" s="21"/>
      <c r="C12" s="22"/>
      <c r="D12" s="23"/>
      <c r="E12" s="21"/>
      <c r="F12" s="21"/>
      <c r="G12" s="21"/>
      <c r="H12" s="58"/>
      <c r="I12" s="21"/>
    </row>
    <row r="13" customFormat="false" ht="18" hidden="false" customHeight="true" outlineLevel="0" collapsed="false">
      <c r="A13" s="18"/>
      <c r="B13" s="18"/>
      <c r="C13" s="19"/>
      <c r="D13" s="20"/>
      <c r="E13" s="18"/>
      <c r="F13" s="18"/>
      <c r="G13" s="18"/>
      <c r="H13" s="57"/>
      <c r="I13" s="18"/>
    </row>
    <row r="14" customFormat="false" ht="18" hidden="false" customHeight="true" outlineLevel="0" collapsed="false">
      <c r="A14" s="21"/>
      <c r="B14" s="21"/>
      <c r="C14" s="22"/>
      <c r="D14" s="23"/>
      <c r="E14" s="21"/>
      <c r="F14" s="21"/>
      <c r="G14" s="21"/>
      <c r="H14" s="58"/>
      <c r="I14" s="21"/>
    </row>
    <row r="15" customFormat="false" ht="18" hidden="false" customHeight="true" outlineLevel="0" collapsed="false">
      <c r="A15" s="18"/>
      <c r="B15" s="18"/>
      <c r="C15" s="19"/>
      <c r="D15" s="20"/>
      <c r="E15" s="18"/>
      <c r="F15" s="18"/>
      <c r="G15" s="18"/>
      <c r="H15" s="57"/>
      <c r="I15" s="18"/>
    </row>
    <row r="16" customFormat="false" ht="18" hidden="false" customHeight="true" outlineLevel="0" collapsed="false">
      <c r="A16" s="21"/>
      <c r="B16" s="21"/>
      <c r="C16" s="22"/>
      <c r="D16" s="23"/>
      <c r="E16" s="21"/>
      <c r="F16" s="21"/>
      <c r="G16" s="21"/>
      <c r="H16" s="58"/>
      <c r="I16" s="21"/>
    </row>
    <row r="17" customFormat="false" ht="18" hidden="false" customHeight="true" outlineLevel="0" collapsed="false">
      <c r="A17" s="18"/>
      <c r="B17" s="18"/>
      <c r="C17" s="19"/>
      <c r="D17" s="20"/>
      <c r="E17" s="18"/>
      <c r="F17" s="18"/>
      <c r="G17" s="18"/>
      <c r="H17" s="57"/>
      <c r="I17" s="18"/>
    </row>
    <row r="18" customFormat="false" ht="18" hidden="false" customHeight="true" outlineLevel="0" collapsed="false">
      <c r="A18" s="21"/>
      <c r="B18" s="21"/>
      <c r="C18" s="22"/>
      <c r="D18" s="23"/>
      <c r="E18" s="21"/>
      <c r="F18" s="21"/>
      <c r="G18" s="21"/>
      <c r="H18" s="58"/>
      <c r="I18" s="21"/>
    </row>
    <row r="19" customFormat="false" ht="18" hidden="false" customHeight="true" outlineLevel="0" collapsed="false">
      <c r="A19" s="18"/>
      <c r="B19" s="18"/>
      <c r="C19" s="19"/>
      <c r="D19" s="20"/>
      <c r="E19" s="18"/>
      <c r="F19" s="18"/>
      <c r="G19" s="18"/>
      <c r="H19" s="57"/>
      <c r="I19" s="18"/>
    </row>
    <row r="20" customFormat="false" ht="18" hidden="false" customHeight="true" outlineLevel="0" collapsed="false">
      <c r="A20" s="21"/>
      <c r="B20" s="21"/>
      <c r="C20" s="22"/>
      <c r="D20" s="23"/>
      <c r="E20" s="21"/>
      <c r="F20" s="21"/>
      <c r="G20" s="21"/>
      <c r="H20" s="58"/>
      <c r="I20" s="21"/>
    </row>
    <row r="21" customFormat="false" ht="18" hidden="false" customHeight="true" outlineLevel="0" collapsed="false">
      <c r="A21" s="18"/>
      <c r="B21" s="18"/>
      <c r="C21" s="19"/>
      <c r="D21" s="20"/>
      <c r="E21" s="18"/>
      <c r="F21" s="18"/>
      <c r="G21" s="18"/>
      <c r="H21" s="57"/>
      <c r="I21" s="18"/>
    </row>
    <row r="22" customFormat="false" ht="18" hidden="false" customHeight="true" outlineLevel="0" collapsed="false">
      <c r="A22" s="21"/>
      <c r="B22" s="21"/>
      <c r="C22" s="22"/>
      <c r="D22" s="23"/>
      <c r="E22" s="21"/>
      <c r="F22" s="21"/>
      <c r="G22" s="21"/>
      <c r="H22" s="58"/>
      <c r="I22" s="21"/>
    </row>
    <row r="23" customFormat="false" ht="18" hidden="false" customHeight="true" outlineLevel="0" collapsed="false">
      <c r="A23" s="18"/>
      <c r="B23" s="18"/>
      <c r="C23" s="19"/>
      <c r="D23" s="20"/>
      <c r="E23" s="18"/>
      <c r="F23" s="18"/>
      <c r="G23" s="18"/>
      <c r="H23" s="57"/>
      <c r="I23" s="18"/>
    </row>
    <row r="24" customFormat="false" ht="18" hidden="false" customHeight="true" outlineLevel="0" collapsed="false">
      <c r="A24" s="21"/>
      <c r="B24" s="21"/>
      <c r="C24" s="22"/>
      <c r="D24" s="23"/>
      <c r="E24" s="21"/>
      <c r="F24" s="21"/>
      <c r="G24" s="21"/>
      <c r="H24" s="58"/>
      <c r="I24" s="21"/>
    </row>
    <row r="25" customFormat="false" ht="18" hidden="false" customHeight="true" outlineLevel="0" collapsed="false">
      <c r="A25" s="18"/>
      <c r="B25" s="18"/>
      <c r="C25" s="19"/>
      <c r="D25" s="20"/>
      <c r="E25" s="18"/>
      <c r="F25" s="18"/>
      <c r="G25" s="18"/>
      <c r="H25" s="57"/>
      <c r="I25" s="18"/>
    </row>
    <row r="26" customFormat="false" ht="18" hidden="false" customHeight="true" outlineLevel="0" collapsed="false">
      <c r="A26" s="21"/>
      <c r="B26" s="21"/>
      <c r="C26" s="22"/>
      <c r="D26" s="23"/>
      <c r="E26" s="21"/>
      <c r="F26" s="21"/>
      <c r="G26" s="21"/>
      <c r="H26" s="58"/>
      <c r="I26" s="21"/>
    </row>
    <row r="27" customFormat="false" ht="18" hidden="false" customHeight="true" outlineLevel="0" collapsed="false">
      <c r="A27" s="18"/>
      <c r="B27" s="18"/>
      <c r="C27" s="19"/>
      <c r="D27" s="20"/>
      <c r="E27" s="18"/>
      <c r="F27" s="18"/>
      <c r="G27" s="18"/>
      <c r="H27" s="57"/>
      <c r="I27" s="18"/>
    </row>
    <row r="28" customFormat="false" ht="18" hidden="false" customHeight="true" outlineLevel="0" collapsed="false">
      <c r="A28" s="21"/>
      <c r="B28" s="21"/>
      <c r="C28" s="22"/>
      <c r="D28" s="23"/>
      <c r="E28" s="21"/>
      <c r="F28" s="21"/>
      <c r="G28" s="21"/>
      <c r="H28" s="58"/>
      <c r="I28" s="21"/>
    </row>
    <row r="29" customFormat="false" ht="18" hidden="false" customHeight="true" outlineLevel="0" collapsed="false">
      <c r="A29" s="18"/>
      <c r="B29" s="18"/>
      <c r="C29" s="19"/>
      <c r="D29" s="20"/>
      <c r="E29" s="18"/>
      <c r="F29" s="18"/>
      <c r="G29" s="18"/>
      <c r="H29" s="57"/>
      <c r="I29" s="18"/>
    </row>
    <row r="30" customFormat="false" ht="18" hidden="false" customHeight="true" outlineLevel="0" collapsed="false">
      <c r="A30" s="21"/>
      <c r="B30" s="21"/>
      <c r="C30" s="22"/>
      <c r="D30" s="23"/>
      <c r="E30" s="21"/>
      <c r="F30" s="21"/>
      <c r="G30" s="21"/>
      <c r="H30" s="58"/>
      <c r="I30" s="21"/>
    </row>
    <row r="31" customFormat="false" ht="18" hidden="false" customHeight="true" outlineLevel="0" collapsed="false">
      <c r="A31" s="18"/>
      <c r="B31" s="18"/>
      <c r="C31" s="19"/>
      <c r="D31" s="20"/>
      <c r="E31" s="18"/>
      <c r="F31" s="18"/>
      <c r="G31" s="18"/>
      <c r="H31" s="57"/>
      <c r="I31" s="18"/>
    </row>
    <row r="32" customFormat="false" ht="18" hidden="false" customHeight="true" outlineLevel="0" collapsed="false">
      <c r="A32" s="21"/>
      <c r="B32" s="21"/>
      <c r="C32" s="22"/>
      <c r="D32" s="23"/>
      <c r="E32" s="21"/>
      <c r="F32" s="21"/>
      <c r="G32" s="21"/>
      <c r="H32" s="58"/>
      <c r="I32" s="21"/>
    </row>
    <row r="33" customFormat="false" ht="18" hidden="false" customHeight="true" outlineLevel="0" collapsed="false">
      <c r="A33" s="18"/>
      <c r="B33" s="18"/>
      <c r="C33" s="19"/>
      <c r="D33" s="20"/>
      <c r="E33" s="18"/>
      <c r="F33" s="18"/>
      <c r="G33" s="18"/>
      <c r="H33" s="57"/>
      <c r="I33" s="18"/>
    </row>
    <row r="34" customFormat="false" ht="18" hidden="false" customHeight="true" outlineLevel="0" collapsed="false">
      <c r="A34" s="21"/>
      <c r="B34" s="21"/>
      <c r="C34" s="22"/>
      <c r="D34" s="23"/>
      <c r="E34" s="21"/>
      <c r="F34" s="21"/>
      <c r="G34" s="21"/>
      <c r="H34" s="58"/>
      <c r="I34" s="21"/>
    </row>
  </sheetData>
  <mergeCells count="3">
    <mergeCell ref="A1:J1"/>
    <mergeCell ref="A2:J2"/>
    <mergeCell ref="A3:B3"/>
  </mergeCells>
  <dataValidations count="2">
    <dataValidation allowBlank="true" errorStyle="stop" operator="between" showDropDown="false" showErrorMessage="false" showInputMessage="false" sqref="F5:F34" type="list">
      <formula1>"Seed,Pre-Series A,Series A,Series B,Growth,Debt,Other"</formula1>
      <formula2>0</formula2>
    </dataValidation>
    <dataValidation allowBlank="true" errorStyle="stop" operator="between" showDropDown="false" showErrorMessage="false" showInputMessage="false" sqref="E5:E34" type="list">
      <formula1>"Equity,CCPS,OCD,NCD,Debt,Other"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4"/>
  </cols>
  <sheetData>
    <row r="1" customFormat="false" ht="27.75" hidden="false" customHeight="true" outlineLevel="0" collapsed="false">
      <c r="A1" s="46" t="s">
        <v>112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18" hidden="false" customHeight="true" outlineLevel="0" collapsed="false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customFormat="false" ht="21.75" hidden="false" customHeight="true" outlineLevel="0" collapsed="false">
      <c r="A3" s="59" t="s">
        <v>113</v>
      </c>
      <c r="B3" s="59"/>
      <c r="C3" s="59"/>
      <c r="D3" s="60" t="n">
        <f aca="false">SUM(D5:D69)</f>
        <v>0</v>
      </c>
    </row>
    <row r="4" customFormat="false" ht="30" hidden="false" customHeight="true" outlineLevel="0" collapsed="false">
      <c r="A4" s="50" t="s">
        <v>29</v>
      </c>
      <c r="B4" s="50" t="s">
        <v>114</v>
      </c>
      <c r="C4" s="50" t="s">
        <v>115</v>
      </c>
      <c r="D4" s="50" t="s">
        <v>116</v>
      </c>
      <c r="E4" s="50" t="s">
        <v>117</v>
      </c>
      <c r="F4" s="50" t="s">
        <v>118</v>
      </c>
      <c r="G4" s="50" t="s">
        <v>119</v>
      </c>
      <c r="H4" s="50" t="s">
        <v>120</v>
      </c>
      <c r="I4" s="50" t="s">
        <v>121</v>
      </c>
      <c r="J4" s="50" t="s">
        <v>52</v>
      </c>
    </row>
    <row r="5" customFormat="false" ht="18" hidden="false" customHeight="true" outlineLevel="0" collapsed="false">
      <c r="A5" s="18"/>
      <c r="B5" s="18"/>
      <c r="C5" s="18"/>
      <c r="D5" s="19"/>
      <c r="E5" s="20"/>
      <c r="F5" s="20"/>
      <c r="G5" s="19"/>
      <c r="H5" s="20"/>
      <c r="I5" s="19" t="str">
        <f aca="false">IF(D5&lt;&gt;"",D5-IF(G5&lt;&gt;"",G5,0),"")</f>
        <v/>
      </c>
      <c r="J5" s="18"/>
    </row>
    <row r="6" customFormat="false" ht="18" hidden="false" customHeight="true" outlineLevel="0" collapsed="false">
      <c r="A6" s="21"/>
      <c r="B6" s="21"/>
      <c r="C6" s="21"/>
      <c r="D6" s="22"/>
      <c r="E6" s="23"/>
      <c r="F6" s="23"/>
      <c r="G6" s="22"/>
      <c r="H6" s="23"/>
      <c r="I6" s="22" t="str">
        <f aca="false">IF(D6&lt;&gt;"",D6-IF(G6&lt;&gt;"",G6,0),"")</f>
        <v/>
      </c>
      <c r="J6" s="21"/>
    </row>
    <row r="7" customFormat="false" ht="18" hidden="false" customHeight="true" outlineLevel="0" collapsed="false">
      <c r="A7" s="18"/>
      <c r="B7" s="18"/>
      <c r="C7" s="18"/>
      <c r="D7" s="19"/>
      <c r="E7" s="20"/>
      <c r="F7" s="20"/>
      <c r="G7" s="19"/>
      <c r="H7" s="20"/>
      <c r="I7" s="19" t="str">
        <f aca="false">IF(D7&lt;&gt;"",D7-IF(G7&lt;&gt;"",G7,0),"")</f>
        <v/>
      </c>
      <c r="J7" s="18"/>
    </row>
    <row r="8" customFormat="false" ht="18" hidden="false" customHeight="true" outlineLevel="0" collapsed="false">
      <c r="A8" s="21"/>
      <c r="B8" s="21"/>
      <c r="C8" s="21"/>
      <c r="D8" s="22"/>
      <c r="E8" s="23"/>
      <c r="F8" s="23"/>
      <c r="G8" s="22"/>
      <c r="H8" s="23"/>
      <c r="I8" s="22" t="str">
        <f aca="false">IF(D8&lt;&gt;"",D8-IF(G8&lt;&gt;"",G8,0),"")</f>
        <v/>
      </c>
      <c r="J8" s="21"/>
    </row>
    <row r="9" customFormat="false" ht="18" hidden="false" customHeight="true" outlineLevel="0" collapsed="false">
      <c r="A9" s="18"/>
      <c r="B9" s="18"/>
      <c r="C9" s="18"/>
      <c r="D9" s="19"/>
      <c r="E9" s="20"/>
      <c r="F9" s="20"/>
      <c r="G9" s="19"/>
      <c r="H9" s="20"/>
      <c r="I9" s="19" t="str">
        <f aca="false">IF(D9&lt;&gt;"",D9-IF(G9&lt;&gt;"",G9,0),"")</f>
        <v/>
      </c>
      <c r="J9" s="18"/>
    </row>
    <row r="10" customFormat="false" ht="18" hidden="false" customHeight="true" outlineLevel="0" collapsed="false">
      <c r="A10" s="21"/>
      <c r="B10" s="21"/>
      <c r="C10" s="21"/>
      <c r="D10" s="22"/>
      <c r="E10" s="23"/>
      <c r="F10" s="23"/>
      <c r="G10" s="22"/>
      <c r="H10" s="23"/>
      <c r="I10" s="22" t="str">
        <f aca="false">IF(D10&lt;&gt;"",D10-IF(G10&lt;&gt;"",G10,0),"")</f>
        <v/>
      </c>
      <c r="J10" s="21"/>
    </row>
    <row r="11" customFormat="false" ht="18" hidden="false" customHeight="true" outlineLevel="0" collapsed="false">
      <c r="A11" s="18"/>
      <c r="B11" s="18"/>
      <c r="C11" s="18"/>
      <c r="D11" s="19"/>
      <c r="E11" s="20"/>
      <c r="F11" s="20"/>
      <c r="G11" s="19"/>
      <c r="H11" s="20"/>
      <c r="I11" s="19" t="str">
        <f aca="false">IF(D11&lt;&gt;"",D11-IF(G11&lt;&gt;"",G11,0),"")</f>
        <v/>
      </c>
      <c r="J11" s="18"/>
    </row>
    <row r="12" customFormat="false" ht="18" hidden="false" customHeight="true" outlineLevel="0" collapsed="false">
      <c r="A12" s="21"/>
      <c r="B12" s="21"/>
      <c r="C12" s="21"/>
      <c r="D12" s="22"/>
      <c r="E12" s="23"/>
      <c r="F12" s="23"/>
      <c r="G12" s="22"/>
      <c r="H12" s="23"/>
      <c r="I12" s="22" t="str">
        <f aca="false">IF(D12&lt;&gt;"",D12-IF(G12&lt;&gt;"",G12,0),"")</f>
        <v/>
      </c>
      <c r="J12" s="21"/>
    </row>
    <row r="13" customFormat="false" ht="18" hidden="false" customHeight="true" outlineLevel="0" collapsed="false">
      <c r="A13" s="18"/>
      <c r="B13" s="18"/>
      <c r="C13" s="18"/>
      <c r="D13" s="19"/>
      <c r="E13" s="20"/>
      <c r="F13" s="20"/>
      <c r="G13" s="19"/>
      <c r="H13" s="20"/>
      <c r="I13" s="19" t="str">
        <f aca="false">IF(D13&lt;&gt;"",D13-IF(G13&lt;&gt;"",G13,0),"")</f>
        <v/>
      </c>
      <c r="J13" s="18"/>
    </row>
    <row r="14" customFormat="false" ht="18" hidden="false" customHeight="true" outlineLevel="0" collapsed="false">
      <c r="A14" s="21"/>
      <c r="B14" s="21"/>
      <c r="C14" s="21"/>
      <c r="D14" s="22"/>
      <c r="E14" s="23"/>
      <c r="F14" s="23"/>
      <c r="G14" s="22"/>
      <c r="H14" s="23"/>
      <c r="I14" s="22" t="str">
        <f aca="false">IF(D14&lt;&gt;"",D14-IF(G14&lt;&gt;"",G14,0),"")</f>
        <v/>
      </c>
      <c r="J14" s="21"/>
    </row>
    <row r="15" customFormat="false" ht="18" hidden="false" customHeight="true" outlineLevel="0" collapsed="false">
      <c r="A15" s="18"/>
      <c r="B15" s="18"/>
      <c r="C15" s="18"/>
      <c r="D15" s="19"/>
      <c r="E15" s="20"/>
      <c r="F15" s="20"/>
      <c r="G15" s="19"/>
      <c r="H15" s="20"/>
      <c r="I15" s="19" t="str">
        <f aca="false">IF(D15&lt;&gt;"",D15-IF(G15&lt;&gt;"",G15,0),"")</f>
        <v/>
      </c>
      <c r="J15" s="18"/>
    </row>
    <row r="16" customFormat="false" ht="18" hidden="false" customHeight="true" outlineLevel="0" collapsed="false">
      <c r="A16" s="21"/>
      <c r="B16" s="21"/>
      <c r="C16" s="21"/>
      <c r="D16" s="22"/>
      <c r="E16" s="23"/>
      <c r="F16" s="23"/>
      <c r="G16" s="22"/>
      <c r="H16" s="23"/>
      <c r="I16" s="22" t="str">
        <f aca="false">IF(D16&lt;&gt;"",D16-IF(G16&lt;&gt;"",G16,0),"")</f>
        <v/>
      </c>
      <c r="J16" s="21"/>
    </row>
    <row r="17" customFormat="false" ht="18" hidden="false" customHeight="true" outlineLevel="0" collapsed="false">
      <c r="A17" s="18"/>
      <c r="B17" s="18"/>
      <c r="C17" s="18"/>
      <c r="D17" s="19"/>
      <c r="E17" s="20"/>
      <c r="F17" s="20"/>
      <c r="G17" s="19"/>
      <c r="H17" s="20"/>
      <c r="I17" s="19" t="str">
        <f aca="false">IF(D17&lt;&gt;"",D17-IF(G17&lt;&gt;"",G17,0),"")</f>
        <v/>
      </c>
      <c r="J17" s="18"/>
    </row>
    <row r="18" customFormat="false" ht="18" hidden="false" customHeight="true" outlineLevel="0" collapsed="false">
      <c r="A18" s="21"/>
      <c r="B18" s="21"/>
      <c r="C18" s="21"/>
      <c r="D18" s="22"/>
      <c r="E18" s="23"/>
      <c r="F18" s="23"/>
      <c r="G18" s="22"/>
      <c r="H18" s="23"/>
      <c r="I18" s="22" t="str">
        <f aca="false">IF(D18&lt;&gt;"",D18-IF(G18&lt;&gt;"",G18,0),"")</f>
        <v/>
      </c>
      <c r="J18" s="21"/>
    </row>
    <row r="19" customFormat="false" ht="18" hidden="false" customHeight="true" outlineLevel="0" collapsed="false">
      <c r="A19" s="18"/>
      <c r="B19" s="18"/>
      <c r="C19" s="18"/>
      <c r="D19" s="19"/>
      <c r="E19" s="20"/>
      <c r="F19" s="20"/>
      <c r="G19" s="19"/>
      <c r="H19" s="20"/>
      <c r="I19" s="19" t="str">
        <f aca="false">IF(D19&lt;&gt;"",D19-IF(G19&lt;&gt;"",G19,0),"")</f>
        <v/>
      </c>
      <c r="J19" s="18"/>
    </row>
    <row r="20" customFormat="false" ht="18" hidden="false" customHeight="true" outlineLevel="0" collapsed="false">
      <c r="A20" s="21"/>
      <c r="B20" s="21"/>
      <c r="C20" s="21"/>
      <c r="D20" s="22"/>
      <c r="E20" s="23"/>
      <c r="F20" s="23"/>
      <c r="G20" s="22"/>
      <c r="H20" s="23"/>
      <c r="I20" s="22" t="str">
        <f aca="false">IF(D20&lt;&gt;"",D20-IF(G20&lt;&gt;"",G20,0),"")</f>
        <v/>
      </c>
      <c r="J20" s="21"/>
    </row>
    <row r="21" customFormat="false" ht="18" hidden="false" customHeight="true" outlineLevel="0" collapsed="false">
      <c r="A21" s="18"/>
      <c r="B21" s="18"/>
      <c r="C21" s="18"/>
      <c r="D21" s="19"/>
      <c r="E21" s="20"/>
      <c r="F21" s="20"/>
      <c r="G21" s="19"/>
      <c r="H21" s="20"/>
      <c r="I21" s="19" t="str">
        <f aca="false">IF(D21&lt;&gt;"",D21-IF(G21&lt;&gt;"",G21,0),"")</f>
        <v/>
      </c>
      <c r="J21" s="18"/>
    </row>
    <row r="22" customFormat="false" ht="18" hidden="false" customHeight="true" outlineLevel="0" collapsed="false">
      <c r="A22" s="21"/>
      <c r="B22" s="21"/>
      <c r="C22" s="21"/>
      <c r="D22" s="22"/>
      <c r="E22" s="23"/>
      <c r="F22" s="23"/>
      <c r="G22" s="22"/>
      <c r="H22" s="23"/>
      <c r="I22" s="22" t="str">
        <f aca="false">IF(D22&lt;&gt;"",D22-IF(G22&lt;&gt;"",G22,0),"")</f>
        <v/>
      </c>
      <c r="J22" s="21"/>
    </row>
    <row r="23" customFormat="false" ht="18" hidden="false" customHeight="true" outlineLevel="0" collapsed="false">
      <c r="A23" s="18"/>
      <c r="B23" s="18"/>
      <c r="C23" s="18"/>
      <c r="D23" s="19"/>
      <c r="E23" s="20"/>
      <c r="F23" s="20"/>
      <c r="G23" s="19"/>
      <c r="H23" s="20"/>
      <c r="I23" s="19" t="str">
        <f aca="false">IF(D23&lt;&gt;"",D23-IF(G23&lt;&gt;"",G23,0),"")</f>
        <v/>
      </c>
      <c r="J23" s="18"/>
    </row>
    <row r="24" customFormat="false" ht="18" hidden="false" customHeight="true" outlineLevel="0" collapsed="false">
      <c r="A24" s="21"/>
      <c r="B24" s="21"/>
      <c r="C24" s="21"/>
      <c r="D24" s="22"/>
      <c r="E24" s="23"/>
      <c r="F24" s="23"/>
      <c r="G24" s="22"/>
      <c r="H24" s="23"/>
      <c r="I24" s="22" t="str">
        <f aca="false">IF(D24&lt;&gt;"",D24-IF(G24&lt;&gt;"",G24,0),"")</f>
        <v/>
      </c>
      <c r="J24" s="21"/>
    </row>
    <row r="25" customFormat="false" ht="18" hidden="false" customHeight="true" outlineLevel="0" collapsed="false">
      <c r="A25" s="18"/>
      <c r="B25" s="18"/>
      <c r="C25" s="18"/>
      <c r="D25" s="19"/>
      <c r="E25" s="20"/>
      <c r="F25" s="20"/>
      <c r="G25" s="19"/>
      <c r="H25" s="20"/>
      <c r="I25" s="19" t="str">
        <f aca="false">IF(D25&lt;&gt;"",D25-IF(G25&lt;&gt;"",G25,0),"")</f>
        <v/>
      </c>
      <c r="J25" s="18"/>
    </row>
    <row r="26" customFormat="false" ht="18" hidden="false" customHeight="true" outlineLevel="0" collapsed="false">
      <c r="A26" s="21"/>
      <c r="B26" s="21"/>
      <c r="C26" s="21"/>
      <c r="D26" s="22"/>
      <c r="E26" s="23"/>
      <c r="F26" s="23"/>
      <c r="G26" s="22"/>
      <c r="H26" s="23"/>
      <c r="I26" s="22" t="str">
        <f aca="false">IF(D26&lt;&gt;"",D26-IF(G26&lt;&gt;"",G26,0),"")</f>
        <v/>
      </c>
      <c r="J26" s="21"/>
    </row>
    <row r="27" customFormat="false" ht="18" hidden="false" customHeight="true" outlineLevel="0" collapsed="false">
      <c r="A27" s="18"/>
      <c r="B27" s="18"/>
      <c r="C27" s="18"/>
      <c r="D27" s="19"/>
      <c r="E27" s="20"/>
      <c r="F27" s="20"/>
      <c r="G27" s="19"/>
      <c r="H27" s="20"/>
      <c r="I27" s="19" t="str">
        <f aca="false">IF(D27&lt;&gt;"",D27-IF(G27&lt;&gt;"",G27,0),"")</f>
        <v/>
      </c>
      <c r="J27" s="18"/>
    </row>
    <row r="28" customFormat="false" ht="18" hidden="false" customHeight="true" outlineLevel="0" collapsed="false">
      <c r="A28" s="21"/>
      <c r="B28" s="21"/>
      <c r="C28" s="21"/>
      <c r="D28" s="22"/>
      <c r="E28" s="23"/>
      <c r="F28" s="23"/>
      <c r="G28" s="22"/>
      <c r="H28" s="23"/>
      <c r="I28" s="22" t="str">
        <f aca="false">IF(D28&lt;&gt;"",D28-IF(G28&lt;&gt;"",G28,0),"")</f>
        <v/>
      </c>
      <c r="J28" s="21"/>
    </row>
    <row r="29" customFormat="false" ht="18" hidden="false" customHeight="true" outlineLevel="0" collapsed="false">
      <c r="A29" s="18"/>
      <c r="B29" s="18"/>
      <c r="C29" s="18"/>
      <c r="D29" s="19"/>
      <c r="E29" s="20"/>
      <c r="F29" s="20"/>
      <c r="G29" s="19"/>
      <c r="H29" s="20"/>
      <c r="I29" s="19" t="str">
        <f aca="false">IF(D29&lt;&gt;"",D29-IF(G29&lt;&gt;"",G29,0),"")</f>
        <v/>
      </c>
      <c r="J29" s="18"/>
    </row>
    <row r="30" customFormat="false" ht="18" hidden="false" customHeight="true" outlineLevel="0" collapsed="false">
      <c r="A30" s="21"/>
      <c r="B30" s="21"/>
      <c r="C30" s="21"/>
      <c r="D30" s="22"/>
      <c r="E30" s="23"/>
      <c r="F30" s="23"/>
      <c r="G30" s="22"/>
      <c r="H30" s="23"/>
      <c r="I30" s="22" t="str">
        <f aca="false">IF(D30&lt;&gt;"",D30-IF(G30&lt;&gt;"",G30,0),"")</f>
        <v/>
      </c>
      <c r="J30" s="21"/>
    </row>
    <row r="31" customFormat="false" ht="18" hidden="false" customHeight="true" outlineLevel="0" collapsed="false">
      <c r="A31" s="18"/>
      <c r="B31" s="18"/>
      <c r="C31" s="18"/>
      <c r="D31" s="19"/>
      <c r="E31" s="20"/>
      <c r="F31" s="20"/>
      <c r="G31" s="19"/>
      <c r="H31" s="20"/>
      <c r="I31" s="19" t="str">
        <f aca="false">IF(D31&lt;&gt;"",D31-IF(G31&lt;&gt;"",G31,0),"")</f>
        <v/>
      </c>
      <c r="J31" s="18"/>
    </row>
    <row r="32" customFormat="false" ht="18" hidden="false" customHeight="true" outlineLevel="0" collapsed="false">
      <c r="A32" s="21"/>
      <c r="B32" s="21"/>
      <c r="C32" s="21"/>
      <c r="D32" s="22"/>
      <c r="E32" s="23"/>
      <c r="F32" s="23"/>
      <c r="G32" s="22"/>
      <c r="H32" s="23"/>
      <c r="I32" s="22" t="str">
        <f aca="false">IF(D32&lt;&gt;"",D32-IF(G32&lt;&gt;"",G32,0),"")</f>
        <v/>
      </c>
      <c r="J32" s="21"/>
    </row>
    <row r="33" customFormat="false" ht="18" hidden="false" customHeight="true" outlineLevel="0" collapsed="false">
      <c r="A33" s="18"/>
      <c r="B33" s="18"/>
      <c r="C33" s="18"/>
      <c r="D33" s="19"/>
      <c r="E33" s="20"/>
      <c r="F33" s="20"/>
      <c r="G33" s="19"/>
      <c r="H33" s="20"/>
      <c r="I33" s="19" t="str">
        <f aca="false">IF(D33&lt;&gt;"",D33-IF(G33&lt;&gt;"",G33,0),"")</f>
        <v/>
      </c>
      <c r="J33" s="18"/>
    </row>
    <row r="34" customFormat="false" ht="18" hidden="false" customHeight="true" outlineLevel="0" collapsed="false">
      <c r="A34" s="21"/>
      <c r="B34" s="21"/>
      <c r="C34" s="21"/>
      <c r="D34" s="22"/>
      <c r="E34" s="23"/>
      <c r="F34" s="23"/>
      <c r="G34" s="22"/>
      <c r="H34" s="23"/>
      <c r="I34" s="22" t="str">
        <f aca="false">IF(D34&lt;&gt;"",D34-IF(G34&lt;&gt;"",G34,0),"")</f>
        <v/>
      </c>
      <c r="J34" s="21"/>
    </row>
    <row r="35" customFormat="false" ht="18" hidden="false" customHeight="true" outlineLevel="0" collapsed="false">
      <c r="A35" s="18"/>
      <c r="B35" s="18"/>
      <c r="C35" s="18"/>
      <c r="D35" s="19"/>
      <c r="E35" s="20"/>
      <c r="F35" s="20"/>
      <c r="G35" s="19"/>
      <c r="H35" s="20"/>
      <c r="I35" s="19" t="str">
        <f aca="false">IF(D35&lt;&gt;"",D35-IF(G35&lt;&gt;"",G35,0),"")</f>
        <v/>
      </c>
      <c r="J35" s="18"/>
    </row>
    <row r="36" customFormat="false" ht="18" hidden="false" customHeight="true" outlineLevel="0" collapsed="false">
      <c r="A36" s="21"/>
      <c r="B36" s="21"/>
      <c r="C36" s="21"/>
      <c r="D36" s="22"/>
      <c r="E36" s="23"/>
      <c r="F36" s="23"/>
      <c r="G36" s="22"/>
      <c r="H36" s="23"/>
      <c r="I36" s="22" t="str">
        <f aca="false">IF(D36&lt;&gt;"",D36-IF(G36&lt;&gt;"",G36,0),"")</f>
        <v/>
      </c>
      <c r="J36" s="21"/>
    </row>
    <row r="37" customFormat="false" ht="18" hidden="false" customHeight="true" outlineLevel="0" collapsed="false">
      <c r="A37" s="18"/>
      <c r="B37" s="18"/>
      <c r="C37" s="18"/>
      <c r="D37" s="19"/>
      <c r="E37" s="20"/>
      <c r="F37" s="20"/>
      <c r="G37" s="19"/>
      <c r="H37" s="20"/>
      <c r="I37" s="19" t="str">
        <f aca="false">IF(D37&lt;&gt;"",D37-IF(G37&lt;&gt;"",G37,0),"")</f>
        <v/>
      </c>
      <c r="J37" s="18"/>
    </row>
    <row r="38" customFormat="false" ht="18" hidden="false" customHeight="true" outlineLevel="0" collapsed="false">
      <c r="A38" s="21"/>
      <c r="B38" s="21"/>
      <c r="C38" s="21"/>
      <c r="D38" s="22"/>
      <c r="E38" s="23"/>
      <c r="F38" s="23"/>
      <c r="G38" s="22"/>
      <c r="H38" s="23"/>
      <c r="I38" s="22" t="str">
        <f aca="false">IF(D38&lt;&gt;"",D38-IF(G38&lt;&gt;"",G38,0),"")</f>
        <v/>
      </c>
      <c r="J38" s="21"/>
    </row>
    <row r="39" customFormat="false" ht="18" hidden="false" customHeight="true" outlineLevel="0" collapsed="false">
      <c r="A39" s="18"/>
      <c r="B39" s="18"/>
      <c r="C39" s="18"/>
      <c r="D39" s="19"/>
      <c r="E39" s="20"/>
      <c r="F39" s="20"/>
      <c r="G39" s="19"/>
      <c r="H39" s="20"/>
      <c r="I39" s="19" t="str">
        <f aca="false">IF(D39&lt;&gt;"",D39-IF(G39&lt;&gt;"",G39,0),"")</f>
        <v/>
      </c>
      <c r="J39" s="18"/>
    </row>
    <row r="40" customFormat="false" ht="18" hidden="false" customHeight="true" outlineLevel="0" collapsed="false">
      <c r="A40" s="21"/>
      <c r="B40" s="21"/>
      <c r="C40" s="21"/>
      <c r="D40" s="22"/>
      <c r="E40" s="23"/>
      <c r="F40" s="23"/>
      <c r="G40" s="22"/>
      <c r="H40" s="23"/>
      <c r="I40" s="22" t="str">
        <f aca="false">IF(D40&lt;&gt;"",D40-IF(G40&lt;&gt;"",G40,0),"")</f>
        <v/>
      </c>
      <c r="J40" s="21"/>
    </row>
    <row r="41" customFormat="false" ht="18" hidden="false" customHeight="true" outlineLevel="0" collapsed="false">
      <c r="A41" s="18"/>
      <c r="B41" s="18"/>
      <c r="C41" s="18"/>
      <c r="D41" s="19"/>
      <c r="E41" s="20"/>
      <c r="F41" s="20"/>
      <c r="G41" s="19"/>
      <c r="H41" s="20"/>
      <c r="I41" s="19" t="str">
        <f aca="false">IF(D41&lt;&gt;"",D41-IF(G41&lt;&gt;"",G41,0),"")</f>
        <v/>
      </c>
      <c r="J41" s="18"/>
    </row>
    <row r="42" customFormat="false" ht="18" hidden="false" customHeight="true" outlineLevel="0" collapsed="false">
      <c r="A42" s="21"/>
      <c r="B42" s="21"/>
      <c r="C42" s="21"/>
      <c r="D42" s="22"/>
      <c r="E42" s="23"/>
      <c r="F42" s="23"/>
      <c r="G42" s="22"/>
      <c r="H42" s="23"/>
      <c r="I42" s="22" t="str">
        <f aca="false">IF(D42&lt;&gt;"",D42-IF(G42&lt;&gt;"",G42,0),"")</f>
        <v/>
      </c>
      <c r="J42" s="21"/>
    </row>
    <row r="43" customFormat="false" ht="18" hidden="false" customHeight="true" outlineLevel="0" collapsed="false">
      <c r="A43" s="18"/>
      <c r="B43" s="18"/>
      <c r="C43" s="18"/>
      <c r="D43" s="19"/>
      <c r="E43" s="20"/>
      <c r="F43" s="20"/>
      <c r="G43" s="19"/>
      <c r="H43" s="20"/>
      <c r="I43" s="19" t="str">
        <f aca="false">IF(D43&lt;&gt;"",D43-IF(G43&lt;&gt;"",G43,0),"")</f>
        <v/>
      </c>
      <c r="J43" s="18"/>
    </row>
    <row r="44" customFormat="false" ht="18" hidden="false" customHeight="true" outlineLevel="0" collapsed="false">
      <c r="A44" s="21"/>
      <c r="B44" s="21"/>
      <c r="C44" s="21"/>
      <c r="D44" s="22"/>
      <c r="E44" s="23"/>
      <c r="F44" s="23"/>
      <c r="G44" s="22"/>
      <c r="H44" s="23"/>
      <c r="I44" s="22" t="str">
        <f aca="false">IF(D44&lt;&gt;"",D44-IF(G44&lt;&gt;"",G44,0),"")</f>
        <v/>
      </c>
      <c r="J44" s="21"/>
    </row>
    <row r="45" customFormat="false" ht="18" hidden="false" customHeight="true" outlineLevel="0" collapsed="false">
      <c r="A45" s="18"/>
      <c r="B45" s="18"/>
      <c r="C45" s="18"/>
      <c r="D45" s="19"/>
      <c r="E45" s="20"/>
      <c r="F45" s="20"/>
      <c r="G45" s="19"/>
      <c r="H45" s="20"/>
      <c r="I45" s="19" t="str">
        <f aca="false">IF(D45&lt;&gt;"",D45-IF(G45&lt;&gt;"",G45,0),"")</f>
        <v/>
      </c>
      <c r="J45" s="18"/>
    </row>
    <row r="46" customFormat="false" ht="18" hidden="false" customHeight="true" outlineLevel="0" collapsed="false">
      <c r="A46" s="21"/>
      <c r="B46" s="21"/>
      <c r="C46" s="21"/>
      <c r="D46" s="22"/>
      <c r="E46" s="23"/>
      <c r="F46" s="23"/>
      <c r="G46" s="22"/>
      <c r="H46" s="23"/>
      <c r="I46" s="22" t="str">
        <f aca="false">IF(D46&lt;&gt;"",D46-IF(G46&lt;&gt;"",G46,0),"")</f>
        <v/>
      </c>
      <c r="J46" s="21"/>
    </row>
    <row r="47" customFormat="false" ht="18" hidden="false" customHeight="true" outlineLevel="0" collapsed="false">
      <c r="A47" s="18"/>
      <c r="B47" s="18"/>
      <c r="C47" s="18"/>
      <c r="D47" s="19"/>
      <c r="E47" s="20"/>
      <c r="F47" s="20"/>
      <c r="G47" s="19"/>
      <c r="H47" s="20"/>
      <c r="I47" s="19" t="str">
        <f aca="false">IF(D47&lt;&gt;"",D47-IF(G47&lt;&gt;"",G47,0),"")</f>
        <v/>
      </c>
      <c r="J47" s="18"/>
    </row>
    <row r="48" customFormat="false" ht="18" hidden="false" customHeight="true" outlineLevel="0" collapsed="false">
      <c r="A48" s="21"/>
      <c r="B48" s="21"/>
      <c r="C48" s="21"/>
      <c r="D48" s="22"/>
      <c r="E48" s="23"/>
      <c r="F48" s="23"/>
      <c r="G48" s="22"/>
      <c r="H48" s="23"/>
      <c r="I48" s="22" t="str">
        <f aca="false">IF(D48&lt;&gt;"",D48-IF(G48&lt;&gt;"",G48,0),"")</f>
        <v/>
      </c>
      <c r="J48" s="21"/>
    </row>
    <row r="49" customFormat="false" ht="18" hidden="false" customHeight="true" outlineLevel="0" collapsed="false">
      <c r="A49" s="18"/>
      <c r="B49" s="18"/>
      <c r="C49" s="18"/>
      <c r="D49" s="19"/>
      <c r="E49" s="20"/>
      <c r="F49" s="20"/>
      <c r="G49" s="19"/>
      <c r="H49" s="20"/>
      <c r="I49" s="19" t="str">
        <f aca="false">IF(D49&lt;&gt;"",D49-IF(G49&lt;&gt;"",G49,0),"")</f>
        <v/>
      </c>
      <c r="J49" s="18"/>
    </row>
    <row r="50" customFormat="false" ht="18" hidden="false" customHeight="true" outlineLevel="0" collapsed="false">
      <c r="A50" s="21"/>
      <c r="B50" s="21"/>
      <c r="C50" s="21"/>
      <c r="D50" s="22"/>
      <c r="E50" s="23"/>
      <c r="F50" s="23"/>
      <c r="G50" s="22"/>
      <c r="H50" s="23"/>
      <c r="I50" s="22" t="str">
        <f aca="false">IF(D50&lt;&gt;"",D50-IF(G50&lt;&gt;"",G50,0),"")</f>
        <v/>
      </c>
      <c r="J50" s="21"/>
    </row>
    <row r="51" customFormat="false" ht="18" hidden="false" customHeight="true" outlineLevel="0" collapsed="false">
      <c r="A51" s="18"/>
      <c r="B51" s="18"/>
      <c r="C51" s="18"/>
      <c r="D51" s="19"/>
      <c r="E51" s="20"/>
      <c r="F51" s="20"/>
      <c r="G51" s="19"/>
      <c r="H51" s="20"/>
      <c r="I51" s="19" t="str">
        <f aca="false">IF(D51&lt;&gt;"",D51-IF(G51&lt;&gt;"",G51,0),"")</f>
        <v/>
      </c>
      <c r="J51" s="18"/>
    </row>
    <row r="52" customFormat="false" ht="18" hidden="false" customHeight="true" outlineLevel="0" collapsed="false">
      <c r="A52" s="21"/>
      <c r="B52" s="21"/>
      <c r="C52" s="21"/>
      <c r="D52" s="22"/>
      <c r="E52" s="23"/>
      <c r="F52" s="23"/>
      <c r="G52" s="22"/>
      <c r="H52" s="23"/>
      <c r="I52" s="22" t="str">
        <f aca="false">IF(D52&lt;&gt;"",D52-IF(G52&lt;&gt;"",G52,0),"")</f>
        <v/>
      </c>
      <c r="J52" s="21"/>
    </row>
    <row r="53" customFormat="false" ht="18" hidden="false" customHeight="true" outlineLevel="0" collapsed="false">
      <c r="A53" s="18"/>
      <c r="B53" s="18"/>
      <c r="C53" s="18"/>
      <c r="D53" s="19"/>
      <c r="E53" s="20"/>
      <c r="F53" s="20"/>
      <c r="G53" s="19"/>
      <c r="H53" s="20"/>
      <c r="I53" s="19" t="str">
        <f aca="false">IF(D53&lt;&gt;"",D53-IF(G53&lt;&gt;"",G53,0),"")</f>
        <v/>
      </c>
      <c r="J53" s="18"/>
    </row>
    <row r="54" customFormat="false" ht="18" hidden="false" customHeight="true" outlineLevel="0" collapsed="false">
      <c r="A54" s="21"/>
      <c r="B54" s="21"/>
      <c r="C54" s="21"/>
      <c r="D54" s="22"/>
      <c r="E54" s="23"/>
      <c r="F54" s="23"/>
      <c r="G54" s="22"/>
      <c r="H54" s="23"/>
      <c r="I54" s="22" t="str">
        <f aca="false">IF(D54&lt;&gt;"",D54-IF(G54&lt;&gt;"",G54,0),"")</f>
        <v/>
      </c>
      <c r="J54" s="21"/>
    </row>
    <row r="55" customFormat="false" ht="18" hidden="false" customHeight="true" outlineLevel="0" collapsed="false">
      <c r="A55" s="18"/>
      <c r="B55" s="18"/>
      <c r="C55" s="18"/>
      <c r="D55" s="19"/>
      <c r="E55" s="20"/>
      <c r="F55" s="20"/>
      <c r="G55" s="19"/>
      <c r="H55" s="20"/>
      <c r="I55" s="19" t="str">
        <f aca="false">IF(D55&lt;&gt;"",D55-IF(G55&lt;&gt;"",G55,0),"")</f>
        <v/>
      </c>
      <c r="J55" s="18"/>
    </row>
    <row r="56" customFormat="false" ht="18" hidden="false" customHeight="true" outlineLevel="0" collapsed="false">
      <c r="A56" s="21"/>
      <c r="B56" s="21"/>
      <c r="C56" s="21"/>
      <c r="D56" s="22"/>
      <c r="E56" s="23"/>
      <c r="F56" s="23"/>
      <c r="G56" s="22"/>
      <c r="H56" s="23"/>
      <c r="I56" s="22" t="str">
        <f aca="false">IF(D56&lt;&gt;"",D56-IF(G56&lt;&gt;"",G56,0),"")</f>
        <v/>
      </c>
      <c r="J56" s="21"/>
    </row>
    <row r="57" customFormat="false" ht="18" hidden="false" customHeight="true" outlineLevel="0" collapsed="false">
      <c r="A57" s="18"/>
      <c r="B57" s="18"/>
      <c r="C57" s="18"/>
      <c r="D57" s="19"/>
      <c r="E57" s="20"/>
      <c r="F57" s="20"/>
      <c r="G57" s="19"/>
      <c r="H57" s="20"/>
      <c r="I57" s="19" t="str">
        <f aca="false">IF(D57&lt;&gt;"",D57-IF(G57&lt;&gt;"",G57,0),"")</f>
        <v/>
      </c>
      <c r="J57" s="18"/>
    </row>
    <row r="58" customFormat="false" ht="18" hidden="false" customHeight="true" outlineLevel="0" collapsed="false">
      <c r="A58" s="21"/>
      <c r="B58" s="21"/>
      <c r="C58" s="21"/>
      <c r="D58" s="22"/>
      <c r="E58" s="23"/>
      <c r="F58" s="23"/>
      <c r="G58" s="22"/>
      <c r="H58" s="23"/>
      <c r="I58" s="22" t="str">
        <f aca="false">IF(D58&lt;&gt;"",D58-IF(G58&lt;&gt;"",G58,0),"")</f>
        <v/>
      </c>
      <c r="J58" s="21"/>
    </row>
    <row r="59" customFormat="false" ht="18" hidden="false" customHeight="true" outlineLevel="0" collapsed="false">
      <c r="A59" s="18"/>
      <c r="B59" s="18"/>
      <c r="C59" s="18"/>
      <c r="D59" s="19"/>
      <c r="E59" s="20"/>
      <c r="F59" s="20"/>
      <c r="G59" s="19"/>
      <c r="H59" s="20"/>
      <c r="I59" s="19" t="str">
        <f aca="false">IF(D59&lt;&gt;"",D59-IF(G59&lt;&gt;"",G59,0),"")</f>
        <v/>
      </c>
      <c r="J59" s="18"/>
    </row>
    <row r="60" customFormat="false" ht="18" hidden="false" customHeight="true" outlineLevel="0" collapsed="false">
      <c r="A60" s="21"/>
      <c r="B60" s="21"/>
      <c r="C60" s="21"/>
      <c r="D60" s="22"/>
      <c r="E60" s="23"/>
      <c r="F60" s="23"/>
      <c r="G60" s="22"/>
      <c r="H60" s="23"/>
      <c r="I60" s="22" t="str">
        <f aca="false">IF(D60&lt;&gt;"",D60-IF(G60&lt;&gt;"",G60,0),"")</f>
        <v/>
      </c>
      <c r="J60" s="21"/>
    </row>
    <row r="61" customFormat="false" ht="18" hidden="false" customHeight="true" outlineLevel="0" collapsed="false">
      <c r="A61" s="18"/>
      <c r="B61" s="18"/>
      <c r="C61" s="18"/>
      <c r="D61" s="19"/>
      <c r="E61" s="20"/>
      <c r="F61" s="20"/>
      <c r="G61" s="19"/>
      <c r="H61" s="20"/>
      <c r="I61" s="19" t="str">
        <f aca="false">IF(D61&lt;&gt;"",D61-IF(G61&lt;&gt;"",G61,0),"")</f>
        <v/>
      </c>
      <c r="J61" s="18"/>
    </row>
    <row r="62" customFormat="false" ht="18" hidden="false" customHeight="true" outlineLevel="0" collapsed="false">
      <c r="A62" s="21"/>
      <c r="B62" s="21"/>
      <c r="C62" s="21"/>
      <c r="D62" s="22"/>
      <c r="E62" s="23"/>
      <c r="F62" s="23"/>
      <c r="G62" s="22"/>
      <c r="H62" s="23"/>
      <c r="I62" s="22" t="str">
        <f aca="false">IF(D62&lt;&gt;"",D62-IF(G62&lt;&gt;"",G62,0),"")</f>
        <v/>
      </c>
      <c r="J62" s="21"/>
    </row>
    <row r="63" customFormat="false" ht="18" hidden="false" customHeight="true" outlineLevel="0" collapsed="false">
      <c r="A63" s="18"/>
      <c r="B63" s="18"/>
      <c r="C63" s="18"/>
      <c r="D63" s="19"/>
      <c r="E63" s="20"/>
      <c r="F63" s="20"/>
      <c r="G63" s="19"/>
      <c r="H63" s="20"/>
      <c r="I63" s="19" t="str">
        <f aca="false">IF(D63&lt;&gt;"",D63-IF(G63&lt;&gt;"",G63,0),"")</f>
        <v/>
      </c>
      <c r="J63" s="18"/>
    </row>
    <row r="64" customFormat="false" ht="18" hidden="false" customHeight="true" outlineLevel="0" collapsed="false">
      <c r="A64" s="21"/>
      <c r="B64" s="21"/>
      <c r="C64" s="21"/>
      <c r="D64" s="22"/>
      <c r="E64" s="23"/>
      <c r="F64" s="23"/>
      <c r="G64" s="22"/>
      <c r="H64" s="23"/>
      <c r="I64" s="22" t="str">
        <f aca="false">IF(D64&lt;&gt;"",D64-IF(G64&lt;&gt;"",G64,0),"")</f>
        <v/>
      </c>
      <c r="J64" s="21"/>
    </row>
    <row r="65" customFormat="false" ht="18" hidden="false" customHeight="true" outlineLevel="0" collapsed="false">
      <c r="A65" s="18"/>
      <c r="B65" s="18"/>
      <c r="C65" s="18"/>
      <c r="D65" s="19"/>
      <c r="E65" s="20"/>
      <c r="F65" s="20"/>
      <c r="G65" s="19"/>
      <c r="H65" s="20"/>
      <c r="I65" s="19" t="str">
        <f aca="false">IF(D65&lt;&gt;"",D65-IF(G65&lt;&gt;"",G65,0),"")</f>
        <v/>
      </c>
      <c r="J65" s="18"/>
    </row>
    <row r="66" customFormat="false" ht="18" hidden="false" customHeight="true" outlineLevel="0" collapsed="false">
      <c r="A66" s="21"/>
      <c r="B66" s="21"/>
      <c r="C66" s="21"/>
      <c r="D66" s="22"/>
      <c r="E66" s="23"/>
      <c r="F66" s="23"/>
      <c r="G66" s="22"/>
      <c r="H66" s="23"/>
      <c r="I66" s="22" t="str">
        <f aca="false">IF(D66&lt;&gt;"",D66-IF(G66&lt;&gt;"",G66,0),"")</f>
        <v/>
      </c>
      <c r="J66" s="21"/>
    </row>
    <row r="67" customFormat="false" ht="18" hidden="false" customHeight="true" outlineLevel="0" collapsed="false">
      <c r="A67" s="18"/>
      <c r="B67" s="18"/>
      <c r="C67" s="18"/>
      <c r="D67" s="19"/>
      <c r="E67" s="20"/>
      <c r="F67" s="20"/>
      <c r="G67" s="19"/>
      <c r="H67" s="20"/>
      <c r="I67" s="19" t="str">
        <f aca="false">IF(D67&lt;&gt;"",D67-IF(G67&lt;&gt;"",G67,0),"")</f>
        <v/>
      </c>
      <c r="J67" s="18"/>
    </row>
    <row r="68" customFormat="false" ht="18" hidden="false" customHeight="true" outlineLevel="0" collapsed="false">
      <c r="A68" s="21"/>
      <c r="B68" s="21"/>
      <c r="C68" s="21"/>
      <c r="D68" s="22"/>
      <c r="E68" s="23"/>
      <c r="F68" s="23"/>
      <c r="G68" s="22"/>
      <c r="H68" s="23"/>
      <c r="I68" s="22" t="str">
        <f aca="false">IF(D68&lt;&gt;"",D68-IF(G68&lt;&gt;"",G68,0),"")</f>
        <v/>
      </c>
      <c r="J68" s="21"/>
    </row>
    <row r="69" customFormat="false" ht="18" hidden="false" customHeight="true" outlineLevel="0" collapsed="false">
      <c r="A69" s="18"/>
      <c r="B69" s="18"/>
      <c r="C69" s="18"/>
      <c r="D69" s="19"/>
      <c r="E69" s="20"/>
      <c r="F69" s="20"/>
      <c r="G69" s="19"/>
      <c r="H69" s="20"/>
      <c r="I69" s="19" t="str">
        <f aca="false">IF(D69&lt;&gt;"",D69-IF(G69&lt;&gt;"",G69,0),"")</f>
        <v/>
      </c>
      <c r="J69" s="18"/>
    </row>
  </sheetData>
  <mergeCells count="3">
    <mergeCell ref="A1:K1"/>
    <mergeCell ref="A2:K2"/>
    <mergeCell ref="A3:C3"/>
  </mergeCells>
  <dataValidations count="1">
    <dataValidation allowBlank="true" errorStyle="stop" operator="between" showDropDown="false" showErrorMessage="false" showInputMessage="false" sqref="B5:B69" type="list">
      <formula1>"Class A,Class B,Class C,Class D,Class 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Q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24"/>
  </cols>
  <sheetData>
    <row r="1" customFormat="false" ht="27.75" hidden="false" customHeight="true" outlineLevel="0" collapsed="false">
      <c r="A1" s="46" t="s">
        <v>122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customFormat="false" ht="18" hidden="false" customHeight="true" outlineLevel="0" collapsed="false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customFormat="false" ht="21.75" hidden="false" customHeight="true" outlineLevel="0" collapsed="false">
      <c r="A3" s="59" t="s">
        <v>123</v>
      </c>
      <c r="B3" s="59"/>
      <c r="C3" s="59"/>
      <c r="D3" s="59"/>
      <c r="E3" s="60" t="n">
        <f aca="false">SUM(E5:E69)</f>
        <v>0</v>
      </c>
      <c r="F3" s="60" t="n">
        <f aca="false">SUM(F5:F69)</f>
        <v>0</v>
      </c>
      <c r="G3" s="60" t="n">
        <f aca="false">SUM(G5:G69)</f>
        <v>0</v>
      </c>
    </row>
    <row r="4" customFormat="false" ht="30" hidden="false" customHeight="true" outlineLevel="0" collapsed="false">
      <c r="A4" s="50" t="s">
        <v>124</v>
      </c>
      <c r="B4" s="50" t="s">
        <v>29</v>
      </c>
      <c r="C4" s="50" t="s">
        <v>125</v>
      </c>
      <c r="D4" s="50" t="s">
        <v>114</v>
      </c>
      <c r="E4" s="50" t="s">
        <v>126</v>
      </c>
      <c r="F4" s="50" t="s">
        <v>31</v>
      </c>
      <c r="G4" s="50" t="s">
        <v>127</v>
      </c>
      <c r="H4" s="50" t="s">
        <v>128</v>
      </c>
      <c r="I4" s="50" t="s">
        <v>129</v>
      </c>
      <c r="J4" s="50" t="s">
        <v>130</v>
      </c>
      <c r="K4" s="50" t="s">
        <v>131</v>
      </c>
      <c r="L4" s="50" t="s">
        <v>132</v>
      </c>
      <c r="M4" s="50" t="s">
        <v>133</v>
      </c>
      <c r="N4" s="50" t="s">
        <v>134</v>
      </c>
      <c r="O4" s="50" t="s">
        <v>135</v>
      </c>
      <c r="P4" s="50" t="s">
        <v>52</v>
      </c>
    </row>
    <row r="5" customFormat="false" ht="18" hidden="false" customHeight="true" outlineLevel="0" collapsed="false">
      <c r="A5" s="61" t="n">
        <v>1</v>
      </c>
      <c r="B5" s="62" t="s">
        <v>136</v>
      </c>
      <c r="C5" s="18"/>
      <c r="D5" s="18"/>
      <c r="E5" s="19"/>
      <c r="F5" s="19"/>
      <c r="G5" s="19" t="str">
        <f aca="false">IF(E5&lt;&gt;"",E5-IF(F5&lt;&gt;"",F5,0),"")</f>
        <v/>
      </c>
      <c r="H5" s="20"/>
      <c r="I5" s="18"/>
      <c r="J5" s="18"/>
      <c r="K5" s="18"/>
      <c r="L5" s="18"/>
      <c r="M5" s="18"/>
      <c r="N5" s="18"/>
      <c r="O5" s="18"/>
      <c r="P5" s="18"/>
    </row>
    <row r="6" customFormat="false" ht="18" hidden="false" customHeight="true" outlineLevel="0" collapsed="false">
      <c r="A6" s="63" t="n">
        <v>2</v>
      </c>
      <c r="B6" s="64" t="s">
        <v>137</v>
      </c>
      <c r="C6" s="21"/>
      <c r="D6" s="21"/>
      <c r="E6" s="22"/>
      <c r="F6" s="22"/>
      <c r="G6" s="22" t="str">
        <f aca="false">IF(E6&lt;&gt;"",E6-IF(F6&lt;&gt;"",F6,0),"")</f>
        <v/>
      </c>
      <c r="H6" s="23"/>
      <c r="I6" s="21"/>
      <c r="J6" s="21"/>
      <c r="K6" s="21"/>
      <c r="L6" s="21"/>
      <c r="M6" s="21"/>
      <c r="N6" s="21"/>
      <c r="O6" s="21"/>
      <c r="P6" s="21"/>
    </row>
    <row r="7" customFormat="false" ht="18" hidden="false" customHeight="true" outlineLevel="0" collapsed="false">
      <c r="A7" s="61" t="n">
        <v>3</v>
      </c>
      <c r="B7" s="62" t="s">
        <v>138</v>
      </c>
      <c r="C7" s="18"/>
      <c r="D7" s="18"/>
      <c r="E7" s="19"/>
      <c r="F7" s="19"/>
      <c r="G7" s="19" t="str">
        <f aca="false">IF(E7&lt;&gt;"",E7-IF(F7&lt;&gt;"",F7,0),"")</f>
        <v/>
      </c>
      <c r="H7" s="20"/>
      <c r="I7" s="18"/>
      <c r="J7" s="18"/>
      <c r="K7" s="18"/>
      <c r="L7" s="18"/>
      <c r="M7" s="18"/>
      <c r="N7" s="18"/>
      <c r="O7" s="18"/>
      <c r="P7" s="18"/>
    </row>
    <row r="8" customFormat="false" ht="18" hidden="false" customHeight="true" outlineLevel="0" collapsed="false">
      <c r="A8" s="63" t="n">
        <v>4</v>
      </c>
      <c r="B8" s="64" t="s">
        <v>139</v>
      </c>
      <c r="C8" s="21"/>
      <c r="D8" s="21"/>
      <c r="E8" s="22"/>
      <c r="F8" s="22"/>
      <c r="G8" s="22" t="str">
        <f aca="false">IF(E8&lt;&gt;"",E8-IF(F8&lt;&gt;"",F8,0),"")</f>
        <v/>
      </c>
      <c r="H8" s="23"/>
      <c r="I8" s="21"/>
      <c r="J8" s="21"/>
      <c r="K8" s="21"/>
      <c r="L8" s="21"/>
      <c r="M8" s="21"/>
      <c r="N8" s="21"/>
      <c r="O8" s="21"/>
      <c r="P8" s="21"/>
    </row>
    <row r="9" customFormat="false" ht="18" hidden="false" customHeight="true" outlineLevel="0" collapsed="false">
      <c r="A9" s="61" t="n">
        <v>5</v>
      </c>
      <c r="B9" s="62" t="s">
        <v>140</v>
      </c>
      <c r="C9" s="18"/>
      <c r="D9" s="18"/>
      <c r="E9" s="19"/>
      <c r="F9" s="19"/>
      <c r="G9" s="19" t="str">
        <f aca="false">IF(E9&lt;&gt;"",E9-IF(F9&lt;&gt;"",F9,0),"")</f>
        <v/>
      </c>
      <c r="H9" s="20"/>
      <c r="I9" s="18"/>
      <c r="J9" s="18"/>
      <c r="K9" s="18"/>
      <c r="L9" s="18"/>
      <c r="M9" s="18"/>
      <c r="N9" s="18"/>
      <c r="O9" s="18"/>
      <c r="P9" s="18"/>
    </row>
    <row r="10" customFormat="false" ht="18" hidden="false" customHeight="true" outlineLevel="0" collapsed="false">
      <c r="A10" s="63" t="n">
        <v>6</v>
      </c>
      <c r="B10" s="64" t="s">
        <v>141</v>
      </c>
      <c r="C10" s="21"/>
      <c r="D10" s="21"/>
      <c r="E10" s="22"/>
      <c r="F10" s="22"/>
      <c r="G10" s="22" t="str">
        <f aca="false">IF(E10&lt;&gt;"",E10-IF(F10&lt;&gt;"",F10,0),"")</f>
        <v/>
      </c>
      <c r="H10" s="23"/>
      <c r="I10" s="21"/>
      <c r="J10" s="21"/>
      <c r="K10" s="21"/>
      <c r="L10" s="21"/>
      <c r="M10" s="21"/>
      <c r="N10" s="21"/>
      <c r="O10" s="21"/>
      <c r="P10" s="21"/>
    </row>
    <row r="11" customFormat="false" ht="18" hidden="false" customHeight="true" outlineLevel="0" collapsed="false">
      <c r="A11" s="61" t="n">
        <v>7</v>
      </c>
      <c r="B11" s="62" t="s">
        <v>142</v>
      </c>
      <c r="C11" s="18"/>
      <c r="D11" s="18"/>
      <c r="E11" s="19"/>
      <c r="F11" s="19"/>
      <c r="G11" s="19" t="str">
        <f aca="false">IF(E11&lt;&gt;"",E11-IF(F11&lt;&gt;"",F11,0),"")</f>
        <v/>
      </c>
      <c r="H11" s="20"/>
      <c r="I11" s="18"/>
      <c r="J11" s="18"/>
      <c r="K11" s="18"/>
      <c r="L11" s="18"/>
      <c r="M11" s="18"/>
      <c r="N11" s="18"/>
      <c r="O11" s="18"/>
      <c r="P11" s="18"/>
    </row>
    <row r="12" customFormat="false" ht="18" hidden="false" customHeight="true" outlineLevel="0" collapsed="false">
      <c r="A12" s="63" t="n">
        <v>8</v>
      </c>
      <c r="B12" s="64" t="s">
        <v>143</v>
      </c>
      <c r="C12" s="21"/>
      <c r="D12" s="21"/>
      <c r="E12" s="22"/>
      <c r="F12" s="22"/>
      <c r="G12" s="22" t="str">
        <f aca="false">IF(E12&lt;&gt;"",E12-IF(F12&lt;&gt;"",F12,0),"")</f>
        <v/>
      </c>
      <c r="H12" s="23"/>
      <c r="I12" s="21"/>
      <c r="J12" s="21"/>
      <c r="K12" s="21"/>
      <c r="L12" s="21"/>
      <c r="M12" s="21"/>
      <c r="N12" s="21"/>
      <c r="O12" s="21"/>
      <c r="P12" s="21"/>
    </row>
    <row r="13" customFormat="false" ht="18" hidden="false" customHeight="true" outlineLevel="0" collapsed="false">
      <c r="A13" s="61" t="n">
        <v>9</v>
      </c>
      <c r="B13" s="62" t="s">
        <v>144</v>
      </c>
      <c r="C13" s="18"/>
      <c r="D13" s="18"/>
      <c r="E13" s="19"/>
      <c r="F13" s="19"/>
      <c r="G13" s="19" t="str">
        <f aca="false">IF(E13&lt;&gt;"",E13-IF(F13&lt;&gt;"",F13,0),"")</f>
        <v/>
      </c>
      <c r="H13" s="20"/>
      <c r="I13" s="18"/>
      <c r="J13" s="18"/>
      <c r="K13" s="18"/>
      <c r="L13" s="18"/>
      <c r="M13" s="18"/>
      <c r="N13" s="18"/>
      <c r="O13" s="18"/>
      <c r="P13" s="18"/>
    </row>
    <row r="14" customFormat="false" ht="18" hidden="false" customHeight="true" outlineLevel="0" collapsed="false">
      <c r="A14" s="63" t="n">
        <v>10</v>
      </c>
      <c r="B14" s="64" t="s">
        <v>145</v>
      </c>
      <c r="C14" s="21"/>
      <c r="D14" s="21"/>
      <c r="E14" s="22"/>
      <c r="F14" s="22"/>
      <c r="G14" s="22" t="str">
        <f aca="false">IF(E14&lt;&gt;"",E14-IF(F14&lt;&gt;"",F14,0),"")</f>
        <v/>
      </c>
      <c r="H14" s="23"/>
      <c r="I14" s="21"/>
      <c r="J14" s="21"/>
      <c r="K14" s="21"/>
      <c r="L14" s="21"/>
      <c r="M14" s="21"/>
      <c r="N14" s="21"/>
      <c r="O14" s="21"/>
      <c r="P14" s="21"/>
    </row>
    <row r="15" customFormat="false" ht="18" hidden="false" customHeight="true" outlineLevel="0" collapsed="false">
      <c r="A15" s="61" t="n">
        <v>11</v>
      </c>
      <c r="B15" s="62" t="s">
        <v>146</v>
      </c>
      <c r="C15" s="18"/>
      <c r="D15" s="18"/>
      <c r="E15" s="19"/>
      <c r="F15" s="19"/>
      <c r="G15" s="19" t="str">
        <f aca="false">IF(E15&lt;&gt;"",E15-IF(F15&lt;&gt;"",F15,0),"")</f>
        <v/>
      </c>
      <c r="H15" s="20"/>
      <c r="I15" s="18"/>
      <c r="J15" s="18"/>
      <c r="K15" s="18"/>
      <c r="L15" s="18"/>
      <c r="M15" s="18"/>
      <c r="N15" s="18"/>
      <c r="O15" s="18"/>
      <c r="P15" s="18"/>
    </row>
    <row r="16" customFormat="false" ht="18" hidden="false" customHeight="true" outlineLevel="0" collapsed="false">
      <c r="A16" s="63" t="n">
        <v>12</v>
      </c>
      <c r="B16" s="64" t="s">
        <v>147</v>
      </c>
      <c r="C16" s="21"/>
      <c r="D16" s="21"/>
      <c r="E16" s="22"/>
      <c r="F16" s="22"/>
      <c r="G16" s="22" t="str">
        <f aca="false">IF(E16&lt;&gt;"",E16-IF(F16&lt;&gt;"",F16,0),"")</f>
        <v/>
      </c>
      <c r="H16" s="23"/>
      <c r="I16" s="21"/>
      <c r="J16" s="21"/>
      <c r="K16" s="21"/>
      <c r="L16" s="21"/>
      <c r="M16" s="21"/>
      <c r="N16" s="21"/>
      <c r="O16" s="21"/>
      <c r="P16" s="21"/>
    </row>
    <row r="17" customFormat="false" ht="18" hidden="false" customHeight="true" outlineLevel="0" collapsed="false">
      <c r="A17" s="61" t="n">
        <v>13</v>
      </c>
      <c r="B17" s="62" t="s">
        <v>148</v>
      </c>
      <c r="C17" s="18"/>
      <c r="D17" s="18"/>
      <c r="E17" s="19"/>
      <c r="F17" s="19"/>
      <c r="G17" s="19" t="str">
        <f aca="false">IF(E17&lt;&gt;"",E17-IF(F17&lt;&gt;"",F17,0),"")</f>
        <v/>
      </c>
      <c r="H17" s="20"/>
      <c r="I17" s="18"/>
      <c r="J17" s="18"/>
      <c r="K17" s="18"/>
      <c r="L17" s="18"/>
      <c r="M17" s="18"/>
      <c r="N17" s="18"/>
      <c r="O17" s="18"/>
      <c r="P17" s="18"/>
    </row>
    <row r="18" customFormat="false" ht="18" hidden="false" customHeight="true" outlineLevel="0" collapsed="false">
      <c r="A18" s="63" t="n">
        <v>14</v>
      </c>
      <c r="B18" s="64" t="s">
        <v>149</v>
      </c>
      <c r="C18" s="21"/>
      <c r="D18" s="21"/>
      <c r="E18" s="22"/>
      <c r="F18" s="22"/>
      <c r="G18" s="22" t="str">
        <f aca="false">IF(E18&lt;&gt;"",E18-IF(F18&lt;&gt;"",F18,0),"")</f>
        <v/>
      </c>
      <c r="H18" s="23"/>
      <c r="I18" s="21"/>
      <c r="J18" s="21"/>
      <c r="K18" s="21"/>
      <c r="L18" s="21"/>
      <c r="M18" s="21"/>
      <c r="N18" s="21"/>
      <c r="O18" s="21"/>
      <c r="P18" s="21"/>
    </row>
    <row r="19" customFormat="false" ht="18" hidden="false" customHeight="true" outlineLevel="0" collapsed="false">
      <c r="A19" s="61" t="n">
        <v>15</v>
      </c>
      <c r="B19" s="62" t="s">
        <v>150</v>
      </c>
      <c r="C19" s="18"/>
      <c r="D19" s="18"/>
      <c r="E19" s="19"/>
      <c r="F19" s="19"/>
      <c r="G19" s="19" t="str">
        <f aca="false">IF(E19&lt;&gt;"",E19-IF(F19&lt;&gt;"",F19,0),"")</f>
        <v/>
      </c>
      <c r="H19" s="20"/>
      <c r="I19" s="18"/>
      <c r="J19" s="18"/>
      <c r="K19" s="18"/>
      <c r="L19" s="18"/>
      <c r="M19" s="18"/>
      <c r="N19" s="18"/>
      <c r="O19" s="18"/>
      <c r="P19" s="18"/>
    </row>
    <row r="20" customFormat="false" ht="18" hidden="false" customHeight="true" outlineLevel="0" collapsed="false">
      <c r="A20" s="63" t="n">
        <v>16</v>
      </c>
      <c r="B20" s="64" t="s">
        <v>151</v>
      </c>
      <c r="C20" s="21"/>
      <c r="D20" s="21"/>
      <c r="E20" s="22"/>
      <c r="F20" s="22"/>
      <c r="G20" s="22" t="str">
        <f aca="false">IF(E20&lt;&gt;"",E20-IF(F20&lt;&gt;"",F20,0),"")</f>
        <v/>
      </c>
      <c r="H20" s="23"/>
      <c r="I20" s="21"/>
      <c r="J20" s="21"/>
      <c r="K20" s="21"/>
      <c r="L20" s="21"/>
      <c r="M20" s="21"/>
      <c r="N20" s="21"/>
      <c r="O20" s="21"/>
      <c r="P20" s="21"/>
    </row>
    <row r="21" customFormat="false" ht="18" hidden="false" customHeight="true" outlineLevel="0" collapsed="false">
      <c r="A21" s="61" t="n">
        <v>17</v>
      </c>
      <c r="B21" s="62" t="s">
        <v>152</v>
      </c>
      <c r="C21" s="18"/>
      <c r="D21" s="18"/>
      <c r="E21" s="19"/>
      <c r="F21" s="19"/>
      <c r="G21" s="19" t="str">
        <f aca="false">IF(E21&lt;&gt;"",E21-IF(F21&lt;&gt;"",F21,0),"")</f>
        <v/>
      </c>
      <c r="H21" s="20"/>
      <c r="I21" s="18"/>
      <c r="J21" s="18"/>
      <c r="K21" s="18"/>
      <c r="L21" s="18"/>
      <c r="M21" s="18"/>
      <c r="N21" s="18"/>
      <c r="O21" s="18"/>
      <c r="P21" s="18"/>
    </row>
    <row r="22" customFormat="false" ht="18" hidden="false" customHeight="true" outlineLevel="0" collapsed="false">
      <c r="A22" s="63" t="n">
        <v>18</v>
      </c>
      <c r="B22" s="64" t="s">
        <v>153</v>
      </c>
      <c r="C22" s="21"/>
      <c r="D22" s="21"/>
      <c r="E22" s="22"/>
      <c r="F22" s="22"/>
      <c r="G22" s="22" t="str">
        <f aca="false">IF(E22&lt;&gt;"",E22-IF(F22&lt;&gt;"",F22,0),"")</f>
        <v/>
      </c>
      <c r="H22" s="23"/>
      <c r="I22" s="21"/>
      <c r="J22" s="21"/>
      <c r="K22" s="21"/>
      <c r="L22" s="21"/>
      <c r="M22" s="21"/>
      <c r="N22" s="21"/>
      <c r="O22" s="21"/>
      <c r="P22" s="21"/>
    </row>
    <row r="23" customFormat="false" ht="18" hidden="false" customHeight="true" outlineLevel="0" collapsed="false">
      <c r="A23" s="61" t="n">
        <v>19</v>
      </c>
      <c r="B23" s="62" t="s">
        <v>154</v>
      </c>
      <c r="C23" s="18"/>
      <c r="D23" s="18"/>
      <c r="E23" s="19"/>
      <c r="F23" s="19"/>
      <c r="G23" s="19" t="str">
        <f aca="false">IF(E23&lt;&gt;"",E23-IF(F23&lt;&gt;"",F23,0),"")</f>
        <v/>
      </c>
      <c r="H23" s="20"/>
      <c r="I23" s="18"/>
      <c r="J23" s="18"/>
      <c r="K23" s="18"/>
      <c r="L23" s="18"/>
      <c r="M23" s="18"/>
      <c r="N23" s="18"/>
      <c r="O23" s="18"/>
      <c r="P23" s="18"/>
    </row>
    <row r="24" customFormat="false" ht="18" hidden="false" customHeight="true" outlineLevel="0" collapsed="false">
      <c r="A24" s="63" t="n">
        <v>20</v>
      </c>
      <c r="B24" s="64" t="s">
        <v>155</v>
      </c>
      <c r="C24" s="21"/>
      <c r="D24" s="21"/>
      <c r="E24" s="22"/>
      <c r="F24" s="22"/>
      <c r="G24" s="22" t="str">
        <f aca="false">IF(E24&lt;&gt;"",E24-IF(F24&lt;&gt;"",F24,0),"")</f>
        <v/>
      </c>
      <c r="H24" s="23"/>
      <c r="I24" s="21"/>
      <c r="J24" s="21"/>
      <c r="K24" s="21"/>
      <c r="L24" s="21"/>
      <c r="M24" s="21"/>
      <c r="N24" s="21"/>
      <c r="O24" s="21"/>
      <c r="P24" s="21"/>
    </row>
    <row r="25" customFormat="false" ht="18" hidden="false" customHeight="true" outlineLevel="0" collapsed="false">
      <c r="A25" s="61" t="n">
        <v>21</v>
      </c>
      <c r="B25" s="62" t="s">
        <v>156</v>
      </c>
      <c r="C25" s="18"/>
      <c r="D25" s="18"/>
      <c r="E25" s="19"/>
      <c r="F25" s="19"/>
      <c r="G25" s="19" t="str">
        <f aca="false">IF(E25&lt;&gt;"",E25-IF(F25&lt;&gt;"",F25,0),"")</f>
        <v/>
      </c>
      <c r="H25" s="20"/>
      <c r="I25" s="18"/>
      <c r="J25" s="18"/>
      <c r="K25" s="18"/>
      <c r="L25" s="18"/>
      <c r="M25" s="18"/>
      <c r="N25" s="18"/>
      <c r="O25" s="18"/>
      <c r="P25" s="18"/>
    </row>
    <row r="26" customFormat="false" ht="18" hidden="false" customHeight="true" outlineLevel="0" collapsed="false">
      <c r="A26" s="63" t="n">
        <v>22</v>
      </c>
      <c r="B26" s="64" t="s">
        <v>157</v>
      </c>
      <c r="C26" s="21"/>
      <c r="D26" s="21"/>
      <c r="E26" s="22"/>
      <c r="F26" s="22"/>
      <c r="G26" s="22" t="str">
        <f aca="false">IF(E26&lt;&gt;"",E26-IF(F26&lt;&gt;"",F26,0),"")</f>
        <v/>
      </c>
      <c r="H26" s="23"/>
      <c r="I26" s="21"/>
      <c r="J26" s="21"/>
      <c r="K26" s="21"/>
      <c r="L26" s="21"/>
      <c r="M26" s="21"/>
      <c r="N26" s="21"/>
      <c r="O26" s="21"/>
      <c r="P26" s="21"/>
    </row>
    <row r="27" customFormat="false" ht="18" hidden="false" customHeight="true" outlineLevel="0" collapsed="false">
      <c r="A27" s="61" t="n">
        <v>23</v>
      </c>
      <c r="B27" s="62" t="s">
        <v>158</v>
      </c>
      <c r="C27" s="18"/>
      <c r="D27" s="18"/>
      <c r="E27" s="19"/>
      <c r="F27" s="19"/>
      <c r="G27" s="19" t="str">
        <f aca="false">IF(E27&lt;&gt;"",E27-IF(F27&lt;&gt;"",F27,0),"")</f>
        <v/>
      </c>
      <c r="H27" s="20"/>
      <c r="I27" s="18"/>
      <c r="J27" s="18"/>
      <c r="K27" s="18"/>
      <c r="L27" s="18"/>
      <c r="M27" s="18"/>
      <c r="N27" s="18"/>
      <c r="O27" s="18"/>
      <c r="P27" s="18"/>
    </row>
    <row r="28" customFormat="false" ht="18" hidden="false" customHeight="true" outlineLevel="0" collapsed="false">
      <c r="A28" s="63" t="n">
        <v>24</v>
      </c>
      <c r="B28" s="64" t="s">
        <v>159</v>
      </c>
      <c r="C28" s="21"/>
      <c r="D28" s="21"/>
      <c r="E28" s="22"/>
      <c r="F28" s="22"/>
      <c r="G28" s="22" t="str">
        <f aca="false">IF(E28&lt;&gt;"",E28-IF(F28&lt;&gt;"",F28,0),"")</f>
        <v/>
      </c>
      <c r="H28" s="23"/>
      <c r="I28" s="21"/>
      <c r="J28" s="21"/>
      <c r="K28" s="21"/>
      <c r="L28" s="21"/>
      <c r="M28" s="21"/>
      <c r="N28" s="21"/>
      <c r="O28" s="21"/>
      <c r="P28" s="21"/>
    </row>
    <row r="29" customFormat="false" ht="18" hidden="false" customHeight="true" outlineLevel="0" collapsed="false">
      <c r="A29" s="61" t="n">
        <v>25</v>
      </c>
      <c r="B29" s="62" t="s">
        <v>160</v>
      </c>
      <c r="C29" s="18"/>
      <c r="D29" s="18"/>
      <c r="E29" s="19"/>
      <c r="F29" s="19"/>
      <c r="G29" s="19" t="str">
        <f aca="false">IF(E29&lt;&gt;"",E29-IF(F29&lt;&gt;"",F29,0),"")</f>
        <v/>
      </c>
      <c r="H29" s="20"/>
      <c r="I29" s="18"/>
      <c r="J29" s="18"/>
      <c r="K29" s="18"/>
      <c r="L29" s="18"/>
      <c r="M29" s="18"/>
      <c r="N29" s="18"/>
      <c r="O29" s="18"/>
      <c r="P29" s="18"/>
    </row>
    <row r="30" customFormat="false" ht="18" hidden="false" customHeight="true" outlineLevel="0" collapsed="false">
      <c r="A30" s="63" t="n">
        <v>26</v>
      </c>
      <c r="B30" s="64" t="s">
        <v>161</v>
      </c>
      <c r="C30" s="21"/>
      <c r="D30" s="21"/>
      <c r="E30" s="22"/>
      <c r="F30" s="22"/>
      <c r="G30" s="22" t="str">
        <f aca="false">IF(E30&lt;&gt;"",E30-IF(F30&lt;&gt;"",F30,0),"")</f>
        <v/>
      </c>
      <c r="H30" s="23"/>
      <c r="I30" s="21"/>
      <c r="J30" s="21"/>
      <c r="K30" s="21"/>
      <c r="L30" s="21"/>
      <c r="M30" s="21"/>
      <c r="N30" s="21"/>
      <c r="O30" s="21"/>
      <c r="P30" s="21"/>
    </row>
    <row r="31" customFormat="false" ht="18" hidden="false" customHeight="true" outlineLevel="0" collapsed="false">
      <c r="A31" s="61" t="n">
        <v>27</v>
      </c>
      <c r="B31" s="62" t="s">
        <v>162</v>
      </c>
      <c r="C31" s="18"/>
      <c r="D31" s="18"/>
      <c r="E31" s="19"/>
      <c r="F31" s="19"/>
      <c r="G31" s="19" t="str">
        <f aca="false">IF(E31&lt;&gt;"",E31-IF(F31&lt;&gt;"",F31,0),"")</f>
        <v/>
      </c>
      <c r="H31" s="20"/>
      <c r="I31" s="18"/>
      <c r="J31" s="18"/>
      <c r="K31" s="18"/>
      <c r="L31" s="18"/>
      <c r="M31" s="18"/>
      <c r="N31" s="18"/>
      <c r="O31" s="18"/>
      <c r="P31" s="18"/>
    </row>
    <row r="32" customFormat="false" ht="18" hidden="false" customHeight="true" outlineLevel="0" collapsed="false">
      <c r="A32" s="63" t="n">
        <v>28</v>
      </c>
      <c r="B32" s="64" t="s">
        <v>163</v>
      </c>
      <c r="C32" s="21"/>
      <c r="D32" s="21"/>
      <c r="E32" s="22"/>
      <c r="F32" s="22"/>
      <c r="G32" s="22" t="str">
        <f aca="false">IF(E32&lt;&gt;"",E32-IF(F32&lt;&gt;"",F32,0),"")</f>
        <v/>
      </c>
      <c r="H32" s="23"/>
      <c r="I32" s="21"/>
      <c r="J32" s="21"/>
      <c r="K32" s="21"/>
      <c r="L32" s="21"/>
      <c r="M32" s="21"/>
      <c r="N32" s="21"/>
      <c r="O32" s="21"/>
      <c r="P32" s="21"/>
    </row>
    <row r="33" customFormat="false" ht="18" hidden="false" customHeight="true" outlineLevel="0" collapsed="false">
      <c r="A33" s="61" t="n">
        <v>29</v>
      </c>
      <c r="B33" s="62" t="s">
        <v>164</v>
      </c>
      <c r="C33" s="18"/>
      <c r="D33" s="18"/>
      <c r="E33" s="19"/>
      <c r="F33" s="19"/>
      <c r="G33" s="19" t="str">
        <f aca="false">IF(E33&lt;&gt;"",E33-IF(F33&lt;&gt;"",F33,0),"")</f>
        <v/>
      </c>
      <c r="H33" s="20"/>
      <c r="I33" s="18"/>
      <c r="J33" s="18"/>
      <c r="K33" s="18"/>
      <c r="L33" s="18"/>
      <c r="M33" s="18"/>
      <c r="N33" s="18"/>
      <c r="O33" s="18"/>
      <c r="P33" s="18"/>
    </row>
    <row r="34" customFormat="false" ht="18" hidden="false" customHeight="true" outlineLevel="0" collapsed="false">
      <c r="A34" s="63" t="n">
        <v>30</v>
      </c>
      <c r="B34" s="64" t="s">
        <v>165</v>
      </c>
      <c r="C34" s="21"/>
      <c r="D34" s="21"/>
      <c r="E34" s="22"/>
      <c r="F34" s="22"/>
      <c r="G34" s="22" t="str">
        <f aca="false">IF(E34&lt;&gt;"",E34-IF(F34&lt;&gt;"",F34,0),"")</f>
        <v/>
      </c>
      <c r="H34" s="23"/>
      <c r="I34" s="21"/>
      <c r="J34" s="21"/>
      <c r="K34" s="21"/>
      <c r="L34" s="21"/>
      <c r="M34" s="21"/>
      <c r="N34" s="21"/>
      <c r="O34" s="21"/>
      <c r="P34" s="21"/>
    </row>
    <row r="35" customFormat="false" ht="18" hidden="false" customHeight="true" outlineLevel="0" collapsed="false">
      <c r="A35" s="61" t="n">
        <v>31</v>
      </c>
      <c r="B35" s="62" t="s">
        <v>166</v>
      </c>
      <c r="C35" s="18"/>
      <c r="D35" s="18"/>
      <c r="E35" s="19"/>
      <c r="F35" s="19"/>
      <c r="G35" s="19" t="str">
        <f aca="false">IF(E35&lt;&gt;"",E35-IF(F35&lt;&gt;"",F35,0),"")</f>
        <v/>
      </c>
      <c r="H35" s="20"/>
      <c r="I35" s="18"/>
      <c r="J35" s="18"/>
      <c r="K35" s="18"/>
      <c r="L35" s="18"/>
      <c r="M35" s="18"/>
      <c r="N35" s="18"/>
      <c r="O35" s="18"/>
      <c r="P35" s="18"/>
    </row>
    <row r="36" customFormat="false" ht="18" hidden="false" customHeight="true" outlineLevel="0" collapsed="false">
      <c r="A36" s="63" t="n">
        <v>32</v>
      </c>
      <c r="B36" s="64" t="s">
        <v>167</v>
      </c>
      <c r="C36" s="21"/>
      <c r="D36" s="21"/>
      <c r="E36" s="22"/>
      <c r="F36" s="22"/>
      <c r="G36" s="22" t="str">
        <f aca="false">IF(E36&lt;&gt;"",E36-IF(F36&lt;&gt;"",F36,0),"")</f>
        <v/>
      </c>
      <c r="H36" s="23"/>
      <c r="I36" s="21"/>
      <c r="J36" s="21"/>
      <c r="K36" s="21"/>
      <c r="L36" s="21"/>
      <c r="M36" s="21"/>
      <c r="N36" s="21"/>
      <c r="O36" s="21"/>
      <c r="P36" s="21"/>
    </row>
    <row r="37" customFormat="false" ht="18" hidden="false" customHeight="true" outlineLevel="0" collapsed="false">
      <c r="A37" s="61" t="n">
        <v>33</v>
      </c>
      <c r="B37" s="62" t="s">
        <v>168</v>
      </c>
      <c r="C37" s="18"/>
      <c r="D37" s="18"/>
      <c r="E37" s="19"/>
      <c r="F37" s="19"/>
      <c r="G37" s="19" t="str">
        <f aca="false">IF(E37&lt;&gt;"",E37-IF(F37&lt;&gt;"",F37,0),"")</f>
        <v/>
      </c>
      <c r="H37" s="20"/>
      <c r="I37" s="18"/>
      <c r="J37" s="18"/>
      <c r="K37" s="18"/>
      <c r="L37" s="18"/>
      <c r="M37" s="18"/>
      <c r="N37" s="18"/>
      <c r="O37" s="18"/>
      <c r="P37" s="18"/>
    </row>
    <row r="38" customFormat="false" ht="18" hidden="false" customHeight="true" outlineLevel="0" collapsed="false">
      <c r="A38" s="63" t="n">
        <v>34</v>
      </c>
      <c r="B38" s="64" t="s">
        <v>169</v>
      </c>
      <c r="C38" s="21"/>
      <c r="D38" s="21"/>
      <c r="E38" s="22"/>
      <c r="F38" s="22"/>
      <c r="G38" s="22" t="str">
        <f aca="false">IF(E38&lt;&gt;"",E38-IF(F38&lt;&gt;"",F38,0),"")</f>
        <v/>
      </c>
      <c r="H38" s="23"/>
      <c r="I38" s="21"/>
      <c r="J38" s="21"/>
      <c r="K38" s="21"/>
      <c r="L38" s="21"/>
      <c r="M38" s="21"/>
      <c r="N38" s="21"/>
      <c r="O38" s="21"/>
      <c r="P38" s="21"/>
    </row>
    <row r="39" customFormat="false" ht="18" hidden="false" customHeight="true" outlineLevel="0" collapsed="false">
      <c r="A39" s="61" t="n">
        <v>35</v>
      </c>
      <c r="B39" s="62" t="s">
        <v>170</v>
      </c>
      <c r="C39" s="18"/>
      <c r="D39" s="18"/>
      <c r="E39" s="19"/>
      <c r="F39" s="19"/>
      <c r="G39" s="19" t="str">
        <f aca="false">IF(E39&lt;&gt;"",E39-IF(F39&lt;&gt;"",F39,0),"")</f>
        <v/>
      </c>
      <c r="H39" s="20"/>
      <c r="I39" s="18"/>
      <c r="J39" s="18"/>
      <c r="K39" s="18"/>
      <c r="L39" s="18"/>
      <c r="M39" s="18"/>
      <c r="N39" s="18"/>
      <c r="O39" s="18"/>
      <c r="P39" s="18"/>
    </row>
    <row r="40" customFormat="false" ht="18" hidden="false" customHeight="true" outlineLevel="0" collapsed="false">
      <c r="A40" s="63" t="n">
        <v>36</v>
      </c>
      <c r="B40" s="64" t="s">
        <v>171</v>
      </c>
      <c r="C40" s="21"/>
      <c r="D40" s="21"/>
      <c r="E40" s="22"/>
      <c r="F40" s="22"/>
      <c r="G40" s="22" t="str">
        <f aca="false">IF(E40&lt;&gt;"",E40-IF(F40&lt;&gt;"",F40,0),"")</f>
        <v/>
      </c>
      <c r="H40" s="23"/>
      <c r="I40" s="21"/>
      <c r="J40" s="21"/>
      <c r="K40" s="21"/>
      <c r="L40" s="21"/>
      <c r="M40" s="21"/>
      <c r="N40" s="21"/>
      <c r="O40" s="21"/>
      <c r="P40" s="21"/>
    </row>
    <row r="41" customFormat="false" ht="18" hidden="false" customHeight="true" outlineLevel="0" collapsed="false">
      <c r="A41" s="61" t="n">
        <v>37</v>
      </c>
      <c r="B41" s="62" t="s">
        <v>172</v>
      </c>
      <c r="C41" s="18"/>
      <c r="D41" s="18"/>
      <c r="E41" s="19"/>
      <c r="F41" s="19"/>
      <c r="G41" s="19" t="str">
        <f aca="false">IF(E41&lt;&gt;"",E41-IF(F41&lt;&gt;"",F41,0),"")</f>
        <v/>
      </c>
      <c r="H41" s="20"/>
      <c r="I41" s="18"/>
      <c r="J41" s="18"/>
      <c r="K41" s="18"/>
      <c r="L41" s="18"/>
      <c r="M41" s="18"/>
      <c r="N41" s="18"/>
      <c r="O41" s="18"/>
      <c r="P41" s="18"/>
    </row>
    <row r="42" customFormat="false" ht="18" hidden="false" customHeight="true" outlineLevel="0" collapsed="false">
      <c r="A42" s="63" t="n">
        <v>38</v>
      </c>
      <c r="B42" s="64" t="s">
        <v>173</v>
      </c>
      <c r="C42" s="21"/>
      <c r="D42" s="21"/>
      <c r="E42" s="22"/>
      <c r="F42" s="22"/>
      <c r="G42" s="22" t="str">
        <f aca="false">IF(E42&lt;&gt;"",E42-IF(F42&lt;&gt;"",F42,0),"")</f>
        <v/>
      </c>
      <c r="H42" s="23"/>
      <c r="I42" s="21"/>
      <c r="J42" s="21"/>
      <c r="K42" s="21"/>
      <c r="L42" s="21"/>
      <c r="M42" s="21"/>
      <c r="N42" s="21"/>
      <c r="O42" s="21"/>
      <c r="P42" s="21"/>
    </row>
    <row r="43" customFormat="false" ht="18" hidden="false" customHeight="true" outlineLevel="0" collapsed="false">
      <c r="A43" s="61" t="n">
        <v>39</v>
      </c>
      <c r="B43" s="62" t="s">
        <v>174</v>
      </c>
      <c r="C43" s="18"/>
      <c r="D43" s="18"/>
      <c r="E43" s="19"/>
      <c r="F43" s="19"/>
      <c r="G43" s="19" t="str">
        <f aca="false">IF(E43&lt;&gt;"",E43-IF(F43&lt;&gt;"",F43,0),"")</f>
        <v/>
      </c>
      <c r="H43" s="20"/>
      <c r="I43" s="18"/>
      <c r="J43" s="18"/>
      <c r="K43" s="18"/>
      <c r="L43" s="18"/>
      <c r="M43" s="18"/>
      <c r="N43" s="18"/>
      <c r="O43" s="18"/>
      <c r="P43" s="18"/>
    </row>
    <row r="44" customFormat="false" ht="18" hidden="false" customHeight="true" outlineLevel="0" collapsed="false">
      <c r="A44" s="63" t="n">
        <v>40</v>
      </c>
      <c r="B44" s="64" t="s">
        <v>175</v>
      </c>
      <c r="C44" s="21"/>
      <c r="D44" s="21"/>
      <c r="E44" s="22"/>
      <c r="F44" s="22"/>
      <c r="G44" s="22" t="str">
        <f aca="false">IF(E44&lt;&gt;"",E44-IF(F44&lt;&gt;"",F44,0),"")</f>
        <v/>
      </c>
      <c r="H44" s="23"/>
      <c r="I44" s="21"/>
      <c r="J44" s="21"/>
      <c r="K44" s="21"/>
      <c r="L44" s="21"/>
      <c r="M44" s="21"/>
      <c r="N44" s="21"/>
      <c r="O44" s="21"/>
      <c r="P44" s="21"/>
    </row>
    <row r="45" customFormat="false" ht="18" hidden="false" customHeight="true" outlineLevel="0" collapsed="false">
      <c r="A45" s="61" t="n">
        <v>41</v>
      </c>
      <c r="B45" s="62" t="s">
        <v>176</v>
      </c>
      <c r="C45" s="18"/>
      <c r="D45" s="18"/>
      <c r="E45" s="19"/>
      <c r="F45" s="19"/>
      <c r="G45" s="19" t="str">
        <f aca="false">IF(E45&lt;&gt;"",E45-IF(F45&lt;&gt;"",F45,0),"")</f>
        <v/>
      </c>
      <c r="H45" s="20"/>
      <c r="I45" s="18"/>
      <c r="J45" s="18"/>
      <c r="K45" s="18"/>
      <c r="L45" s="18"/>
      <c r="M45" s="18"/>
      <c r="N45" s="18"/>
      <c r="O45" s="18"/>
      <c r="P45" s="18"/>
    </row>
    <row r="46" customFormat="false" ht="18" hidden="false" customHeight="true" outlineLevel="0" collapsed="false">
      <c r="A46" s="63" t="n">
        <v>42</v>
      </c>
      <c r="B46" s="64" t="s">
        <v>177</v>
      </c>
      <c r="C46" s="21"/>
      <c r="D46" s="21"/>
      <c r="E46" s="22"/>
      <c r="F46" s="22"/>
      <c r="G46" s="22" t="str">
        <f aca="false">IF(E46&lt;&gt;"",E46-IF(F46&lt;&gt;"",F46,0),"")</f>
        <v/>
      </c>
      <c r="H46" s="23"/>
      <c r="I46" s="21"/>
      <c r="J46" s="21"/>
      <c r="K46" s="21"/>
      <c r="L46" s="21"/>
      <c r="M46" s="21"/>
      <c r="N46" s="21"/>
      <c r="O46" s="21"/>
      <c r="P46" s="21"/>
    </row>
    <row r="47" customFormat="false" ht="18" hidden="false" customHeight="true" outlineLevel="0" collapsed="false">
      <c r="A47" s="61" t="n">
        <v>43</v>
      </c>
      <c r="B47" s="62" t="s">
        <v>178</v>
      </c>
      <c r="C47" s="18"/>
      <c r="D47" s="18"/>
      <c r="E47" s="19"/>
      <c r="F47" s="19"/>
      <c r="G47" s="19" t="str">
        <f aca="false">IF(E47&lt;&gt;"",E47-IF(F47&lt;&gt;"",F47,0),"")</f>
        <v/>
      </c>
      <c r="H47" s="20"/>
      <c r="I47" s="18"/>
      <c r="J47" s="18"/>
      <c r="K47" s="18"/>
      <c r="L47" s="18"/>
      <c r="M47" s="18"/>
      <c r="N47" s="18"/>
      <c r="O47" s="18"/>
      <c r="P47" s="18"/>
    </row>
    <row r="48" customFormat="false" ht="18" hidden="false" customHeight="true" outlineLevel="0" collapsed="false">
      <c r="A48" s="63" t="n">
        <v>44</v>
      </c>
      <c r="B48" s="64" t="s">
        <v>179</v>
      </c>
      <c r="C48" s="21"/>
      <c r="D48" s="21"/>
      <c r="E48" s="22"/>
      <c r="F48" s="22"/>
      <c r="G48" s="22" t="str">
        <f aca="false">IF(E48&lt;&gt;"",E48-IF(F48&lt;&gt;"",F48,0),"")</f>
        <v/>
      </c>
      <c r="H48" s="23"/>
      <c r="I48" s="21"/>
      <c r="J48" s="21"/>
      <c r="K48" s="21"/>
      <c r="L48" s="21"/>
      <c r="M48" s="21"/>
      <c r="N48" s="21"/>
      <c r="O48" s="21"/>
      <c r="P48" s="21"/>
    </row>
    <row r="49" customFormat="false" ht="18" hidden="false" customHeight="true" outlineLevel="0" collapsed="false">
      <c r="A49" s="61" t="n">
        <v>45</v>
      </c>
      <c r="B49" s="62" t="s">
        <v>180</v>
      </c>
      <c r="C49" s="18"/>
      <c r="D49" s="18"/>
      <c r="E49" s="19"/>
      <c r="F49" s="19"/>
      <c r="G49" s="19" t="str">
        <f aca="false">IF(E49&lt;&gt;"",E49-IF(F49&lt;&gt;"",F49,0),"")</f>
        <v/>
      </c>
      <c r="H49" s="20"/>
      <c r="I49" s="18"/>
      <c r="J49" s="18"/>
      <c r="K49" s="18"/>
      <c r="L49" s="18"/>
      <c r="M49" s="18"/>
      <c r="N49" s="18"/>
      <c r="O49" s="18"/>
      <c r="P49" s="18"/>
    </row>
    <row r="50" customFormat="false" ht="18" hidden="false" customHeight="true" outlineLevel="0" collapsed="false">
      <c r="A50" s="63" t="n">
        <v>46</v>
      </c>
      <c r="B50" s="64" t="s">
        <v>181</v>
      </c>
      <c r="C50" s="21"/>
      <c r="D50" s="21"/>
      <c r="E50" s="22"/>
      <c r="F50" s="22"/>
      <c r="G50" s="22" t="str">
        <f aca="false">IF(E50&lt;&gt;"",E50-IF(F50&lt;&gt;"",F50,0),"")</f>
        <v/>
      </c>
      <c r="H50" s="23"/>
      <c r="I50" s="21"/>
      <c r="J50" s="21"/>
      <c r="K50" s="21"/>
      <c r="L50" s="21"/>
      <c r="M50" s="21"/>
      <c r="N50" s="21"/>
      <c r="O50" s="21"/>
      <c r="P50" s="21"/>
    </row>
    <row r="51" customFormat="false" ht="18" hidden="false" customHeight="true" outlineLevel="0" collapsed="false">
      <c r="A51" s="61" t="n">
        <v>47</v>
      </c>
      <c r="B51" s="62" t="s">
        <v>182</v>
      </c>
      <c r="C51" s="18"/>
      <c r="D51" s="18"/>
      <c r="E51" s="19"/>
      <c r="F51" s="19"/>
      <c r="G51" s="19" t="str">
        <f aca="false">IF(E51&lt;&gt;"",E51-IF(F51&lt;&gt;"",F51,0),"")</f>
        <v/>
      </c>
      <c r="H51" s="20"/>
      <c r="I51" s="18"/>
      <c r="J51" s="18"/>
      <c r="K51" s="18"/>
      <c r="L51" s="18"/>
      <c r="M51" s="18"/>
      <c r="N51" s="18"/>
      <c r="O51" s="18"/>
      <c r="P51" s="18"/>
    </row>
    <row r="52" customFormat="false" ht="18" hidden="false" customHeight="true" outlineLevel="0" collapsed="false">
      <c r="A52" s="63" t="n">
        <v>48</v>
      </c>
      <c r="B52" s="64" t="s">
        <v>183</v>
      </c>
      <c r="C52" s="21"/>
      <c r="D52" s="21"/>
      <c r="E52" s="22"/>
      <c r="F52" s="22"/>
      <c r="G52" s="22" t="str">
        <f aca="false">IF(E52&lt;&gt;"",E52-IF(F52&lt;&gt;"",F52,0),"")</f>
        <v/>
      </c>
      <c r="H52" s="23"/>
      <c r="I52" s="21"/>
      <c r="J52" s="21"/>
      <c r="K52" s="21"/>
      <c r="L52" s="21"/>
      <c r="M52" s="21"/>
      <c r="N52" s="21"/>
      <c r="O52" s="21"/>
      <c r="P52" s="21"/>
    </row>
    <row r="53" customFormat="false" ht="18" hidden="false" customHeight="true" outlineLevel="0" collapsed="false">
      <c r="A53" s="61" t="n">
        <v>49</v>
      </c>
      <c r="B53" s="62" t="s">
        <v>184</v>
      </c>
      <c r="C53" s="18"/>
      <c r="D53" s="18"/>
      <c r="E53" s="19"/>
      <c r="F53" s="19"/>
      <c r="G53" s="19" t="str">
        <f aca="false">IF(E53&lt;&gt;"",E53-IF(F53&lt;&gt;"",F53,0),"")</f>
        <v/>
      </c>
      <c r="H53" s="20"/>
      <c r="I53" s="18"/>
      <c r="J53" s="18"/>
      <c r="K53" s="18"/>
      <c r="L53" s="18"/>
      <c r="M53" s="18"/>
      <c r="N53" s="18"/>
      <c r="O53" s="18"/>
      <c r="P53" s="18"/>
    </row>
    <row r="54" customFormat="false" ht="18" hidden="false" customHeight="true" outlineLevel="0" collapsed="false">
      <c r="A54" s="63" t="n">
        <v>50</v>
      </c>
      <c r="B54" s="64" t="s">
        <v>185</v>
      </c>
      <c r="C54" s="21"/>
      <c r="D54" s="21"/>
      <c r="E54" s="22"/>
      <c r="F54" s="22"/>
      <c r="G54" s="22" t="str">
        <f aca="false">IF(E54&lt;&gt;"",E54-IF(F54&lt;&gt;"",F54,0),"")</f>
        <v/>
      </c>
      <c r="H54" s="23"/>
      <c r="I54" s="21"/>
      <c r="J54" s="21"/>
      <c r="K54" s="21"/>
      <c r="L54" s="21"/>
      <c r="M54" s="21"/>
      <c r="N54" s="21"/>
      <c r="O54" s="21"/>
      <c r="P54" s="21"/>
    </row>
    <row r="55" customFormat="false" ht="18" hidden="false" customHeight="true" outlineLevel="0" collapsed="false">
      <c r="A55" s="61" t="n">
        <v>51</v>
      </c>
      <c r="B55" s="62" t="s">
        <v>186</v>
      </c>
      <c r="C55" s="18"/>
      <c r="D55" s="18"/>
      <c r="E55" s="19"/>
      <c r="F55" s="19"/>
      <c r="G55" s="19" t="str">
        <f aca="false">IF(E55&lt;&gt;"",E55-IF(F55&lt;&gt;"",F55,0),"")</f>
        <v/>
      </c>
      <c r="H55" s="20"/>
      <c r="I55" s="18"/>
      <c r="J55" s="18"/>
      <c r="K55" s="18"/>
      <c r="L55" s="18"/>
      <c r="M55" s="18"/>
      <c r="N55" s="18"/>
      <c r="O55" s="18"/>
      <c r="P55" s="18"/>
    </row>
    <row r="56" customFormat="false" ht="18" hidden="false" customHeight="true" outlineLevel="0" collapsed="false">
      <c r="A56" s="63" t="n">
        <v>52</v>
      </c>
      <c r="B56" s="64" t="s">
        <v>187</v>
      </c>
      <c r="C56" s="21"/>
      <c r="D56" s="21"/>
      <c r="E56" s="22"/>
      <c r="F56" s="22"/>
      <c r="G56" s="22" t="str">
        <f aca="false">IF(E56&lt;&gt;"",E56-IF(F56&lt;&gt;"",F56,0),"")</f>
        <v/>
      </c>
      <c r="H56" s="23"/>
      <c r="I56" s="21"/>
      <c r="J56" s="21"/>
      <c r="K56" s="21"/>
      <c r="L56" s="21"/>
      <c r="M56" s="21"/>
      <c r="N56" s="21"/>
      <c r="O56" s="21"/>
      <c r="P56" s="21"/>
    </row>
    <row r="57" customFormat="false" ht="18" hidden="false" customHeight="true" outlineLevel="0" collapsed="false">
      <c r="A57" s="61" t="n">
        <v>53</v>
      </c>
      <c r="B57" s="62" t="s">
        <v>188</v>
      </c>
      <c r="C57" s="18"/>
      <c r="D57" s="18"/>
      <c r="E57" s="19"/>
      <c r="F57" s="19"/>
      <c r="G57" s="19" t="str">
        <f aca="false">IF(E57&lt;&gt;"",E57-IF(F57&lt;&gt;"",F57,0),"")</f>
        <v/>
      </c>
      <c r="H57" s="20"/>
      <c r="I57" s="18"/>
      <c r="J57" s="18"/>
      <c r="K57" s="18"/>
      <c r="L57" s="18"/>
      <c r="M57" s="18"/>
      <c r="N57" s="18"/>
      <c r="O57" s="18"/>
      <c r="P57" s="18"/>
    </row>
    <row r="58" customFormat="false" ht="18" hidden="false" customHeight="true" outlineLevel="0" collapsed="false">
      <c r="A58" s="63" t="n">
        <v>54</v>
      </c>
      <c r="B58" s="64" t="s">
        <v>189</v>
      </c>
      <c r="C58" s="21"/>
      <c r="D58" s="21"/>
      <c r="E58" s="22"/>
      <c r="F58" s="22"/>
      <c r="G58" s="22" t="str">
        <f aca="false">IF(E58&lt;&gt;"",E58-IF(F58&lt;&gt;"",F58,0),"")</f>
        <v/>
      </c>
      <c r="H58" s="23"/>
      <c r="I58" s="21"/>
      <c r="J58" s="21"/>
      <c r="K58" s="21"/>
      <c r="L58" s="21"/>
      <c r="M58" s="21"/>
      <c r="N58" s="21"/>
      <c r="O58" s="21"/>
      <c r="P58" s="21"/>
    </row>
    <row r="59" customFormat="false" ht="18" hidden="false" customHeight="true" outlineLevel="0" collapsed="false">
      <c r="A59" s="61" t="n">
        <v>55</v>
      </c>
      <c r="B59" s="62" t="s">
        <v>190</v>
      </c>
      <c r="C59" s="18"/>
      <c r="D59" s="18"/>
      <c r="E59" s="19"/>
      <c r="F59" s="19"/>
      <c r="G59" s="19" t="str">
        <f aca="false">IF(E59&lt;&gt;"",E59-IF(F59&lt;&gt;"",F59,0),"")</f>
        <v/>
      </c>
      <c r="H59" s="20"/>
      <c r="I59" s="18"/>
      <c r="J59" s="18"/>
      <c r="K59" s="18"/>
      <c r="L59" s="18"/>
      <c r="M59" s="18"/>
      <c r="N59" s="18"/>
      <c r="O59" s="18"/>
      <c r="P59" s="18"/>
    </row>
    <row r="60" customFormat="false" ht="18" hidden="false" customHeight="true" outlineLevel="0" collapsed="false">
      <c r="A60" s="63" t="n">
        <v>56</v>
      </c>
      <c r="B60" s="64" t="s">
        <v>191</v>
      </c>
      <c r="C60" s="21"/>
      <c r="D60" s="21"/>
      <c r="E60" s="22"/>
      <c r="F60" s="22"/>
      <c r="G60" s="22" t="str">
        <f aca="false">IF(E60&lt;&gt;"",E60-IF(F60&lt;&gt;"",F60,0),"")</f>
        <v/>
      </c>
      <c r="H60" s="23"/>
      <c r="I60" s="21"/>
      <c r="J60" s="21"/>
      <c r="K60" s="21"/>
      <c r="L60" s="21"/>
      <c r="M60" s="21"/>
      <c r="N60" s="21"/>
      <c r="O60" s="21"/>
      <c r="P60" s="21"/>
    </row>
    <row r="61" customFormat="false" ht="18" hidden="false" customHeight="true" outlineLevel="0" collapsed="false">
      <c r="A61" s="61" t="n">
        <v>57</v>
      </c>
      <c r="B61" s="62" t="s">
        <v>192</v>
      </c>
      <c r="C61" s="18"/>
      <c r="D61" s="18"/>
      <c r="E61" s="19"/>
      <c r="F61" s="19"/>
      <c r="G61" s="19" t="str">
        <f aca="false">IF(E61&lt;&gt;"",E61-IF(F61&lt;&gt;"",F61,0),"")</f>
        <v/>
      </c>
      <c r="H61" s="20"/>
      <c r="I61" s="18"/>
      <c r="J61" s="18"/>
      <c r="K61" s="18"/>
      <c r="L61" s="18"/>
      <c r="M61" s="18"/>
      <c r="N61" s="18"/>
      <c r="O61" s="18"/>
      <c r="P61" s="18"/>
    </row>
    <row r="62" customFormat="false" ht="18" hidden="false" customHeight="true" outlineLevel="0" collapsed="false">
      <c r="A62" s="63" t="n">
        <v>58</v>
      </c>
      <c r="B62" s="64" t="s">
        <v>193</v>
      </c>
      <c r="C62" s="21"/>
      <c r="D62" s="21"/>
      <c r="E62" s="22"/>
      <c r="F62" s="22"/>
      <c r="G62" s="22" t="str">
        <f aca="false">IF(E62&lt;&gt;"",E62-IF(F62&lt;&gt;"",F62,0),"")</f>
        <v/>
      </c>
      <c r="H62" s="23"/>
      <c r="I62" s="21"/>
      <c r="J62" s="21"/>
      <c r="K62" s="21"/>
      <c r="L62" s="21"/>
      <c r="M62" s="21"/>
      <c r="N62" s="21"/>
      <c r="O62" s="21"/>
      <c r="P62" s="21"/>
    </row>
    <row r="63" customFormat="false" ht="18" hidden="false" customHeight="true" outlineLevel="0" collapsed="false">
      <c r="A63" s="61" t="n">
        <v>59</v>
      </c>
      <c r="B63" s="62" t="s">
        <v>194</v>
      </c>
      <c r="C63" s="18"/>
      <c r="D63" s="18"/>
      <c r="E63" s="19"/>
      <c r="F63" s="19"/>
      <c r="G63" s="19" t="str">
        <f aca="false">IF(E63&lt;&gt;"",E63-IF(F63&lt;&gt;"",F63,0),"")</f>
        <v/>
      </c>
      <c r="H63" s="20"/>
      <c r="I63" s="18"/>
      <c r="J63" s="18"/>
      <c r="K63" s="18"/>
      <c r="L63" s="18"/>
      <c r="M63" s="18"/>
      <c r="N63" s="18"/>
      <c r="O63" s="18"/>
      <c r="P63" s="18"/>
    </row>
    <row r="64" customFormat="false" ht="18" hidden="false" customHeight="true" outlineLevel="0" collapsed="false">
      <c r="A64" s="63" t="n">
        <v>60</v>
      </c>
      <c r="B64" s="64" t="s">
        <v>195</v>
      </c>
      <c r="C64" s="21"/>
      <c r="D64" s="21"/>
      <c r="E64" s="22"/>
      <c r="F64" s="22"/>
      <c r="G64" s="22" t="str">
        <f aca="false">IF(E64&lt;&gt;"",E64-IF(F64&lt;&gt;"",F64,0),"")</f>
        <v/>
      </c>
      <c r="H64" s="23"/>
      <c r="I64" s="21"/>
      <c r="J64" s="21"/>
      <c r="K64" s="21"/>
      <c r="L64" s="21"/>
      <c r="M64" s="21"/>
      <c r="N64" s="21"/>
      <c r="O64" s="21"/>
      <c r="P64" s="21"/>
    </row>
    <row r="65" customFormat="false" ht="18" hidden="false" customHeight="true" outlineLevel="0" collapsed="false">
      <c r="A65" s="61" t="n">
        <v>61</v>
      </c>
      <c r="B65" s="62" t="s">
        <v>196</v>
      </c>
      <c r="C65" s="18"/>
      <c r="D65" s="18"/>
      <c r="E65" s="19"/>
      <c r="F65" s="19"/>
      <c r="G65" s="19" t="str">
        <f aca="false">IF(E65&lt;&gt;"",E65-IF(F65&lt;&gt;"",F65,0),"")</f>
        <v/>
      </c>
      <c r="H65" s="20"/>
      <c r="I65" s="18"/>
      <c r="J65" s="18"/>
      <c r="K65" s="18"/>
      <c r="L65" s="18"/>
      <c r="M65" s="18"/>
      <c r="N65" s="18"/>
      <c r="O65" s="18"/>
      <c r="P65" s="18"/>
    </row>
    <row r="66" customFormat="false" ht="18" hidden="false" customHeight="true" outlineLevel="0" collapsed="false">
      <c r="A66" s="63" t="n">
        <v>62</v>
      </c>
      <c r="B66" s="64" t="s">
        <v>197</v>
      </c>
      <c r="C66" s="21"/>
      <c r="D66" s="21"/>
      <c r="E66" s="22"/>
      <c r="F66" s="22"/>
      <c r="G66" s="22" t="str">
        <f aca="false">IF(E66&lt;&gt;"",E66-IF(F66&lt;&gt;"",F66,0),"")</f>
        <v/>
      </c>
      <c r="H66" s="23"/>
      <c r="I66" s="21"/>
      <c r="J66" s="21"/>
      <c r="K66" s="21"/>
      <c r="L66" s="21"/>
      <c r="M66" s="21"/>
      <c r="N66" s="21"/>
      <c r="O66" s="21"/>
      <c r="P66" s="21"/>
    </row>
    <row r="67" customFormat="false" ht="18" hidden="false" customHeight="true" outlineLevel="0" collapsed="false">
      <c r="A67" s="61" t="n">
        <v>63</v>
      </c>
      <c r="B67" s="62" t="s">
        <v>198</v>
      </c>
      <c r="C67" s="18"/>
      <c r="D67" s="18"/>
      <c r="E67" s="19"/>
      <c r="F67" s="19"/>
      <c r="G67" s="19" t="str">
        <f aca="false">IF(E67&lt;&gt;"",E67-IF(F67&lt;&gt;"",F67,0),"")</f>
        <v/>
      </c>
      <c r="H67" s="20"/>
      <c r="I67" s="18"/>
      <c r="J67" s="18"/>
      <c r="K67" s="18"/>
      <c r="L67" s="18"/>
      <c r="M67" s="18"/>
      <c r="N67" s="18"/>
      <c r="O67" s="18"/>
      <c r="P67" s="18"/>
    </row>
    <row r="68" customFormat="false" ht="18" hidden="false" customHeight="true" outlineLevel="0" collapsed="false">
      <c r="A68" s="63" t="n">
        <v>64</v>
      </c>
      <c r="B68" s="64" t="s">
        <v>199</v>
      </c>
      <c r="C68" s="21"/>
      <c r="D68" s="21"/>
      <c r="E68" s="22"/>
      <c r="F68" s="22"/>
      <c r="G68" s="22" t="str">
        <f aca="false">IF(E68&lt;&gt;"",E68-IF(F68&lt;&gt;"",F68,0),"")</f>
        <v/>
      </c>
      <c r="H68" s="23"/>
      <c r="I68" s="21"/>
      <c r="J68" s="21"/>
      <c r="K68" s="21"/>
      <c r="L68" s="21"/>
      <c r="M68" s="21"/>
      <c r="N68" s="21"/>
      <c r="O68" s="21"/>
      <c r="P68" s="21"/>
    </row>
    <row r="69" customFormat="false" ht="18" hidden="false" customHeight="true" outlineLevel="0" collapsed="false">
      <c r="A69" s="61" t="n">
        <v>65</v>
      </c>
      <c r="B69" s="62" t="s">
        <v>200</v>
      </c>
      <c r="C69" s="18"/>
      <c r="D69" s="18"/>
      <c r="E69" s="19"/>
      <c r="F69" s="19"/>
      <c r="G69" s="19" t="str">
        <f aca="false">IF(E69&lt;&gt;"",E69-IF(F69&lt;&gt;"",F69,0),"")</f>
        <v/>
      </c>
      <c r="H69" s="20"/>
      <c r="I69" s="18"/>
      <c r="J69" s="18"/>
      <c r="K69" s="18"/>
      <c r="L69" s="18"/>
      <c r="M69" s="18"/>
      <c r="N69" s="18"/>
      <c r="O69" s="18"/>
      <c r="P69" s="18"/>
    </row>
  </sheetData>
  <mergeCells count="3">
    <mergeCell ref="A1:Q1"/>
    <mergeCell ref="A2:Q2"/>
    <mergeCell ref="A3:D3"/>
  </mergeCells>
  <dataValidations count="3">
    <dataValidation allowBlank="false" errorStyle="stop" operator="between" showDropDown="false" showErrorMessage="false" showInputMessage="false" sqref="D5:D69" type="list">
      <formula1>"Class A,Class B,Class C,Class D,Class E,Other"</formula1>
      <formula2>0</formula2>
    </dataValidation>
    <dataValidation allowBlank="false" errorStyle="stop" operator="between" showDropDown="false" showErrorMessage="false" showInputMessage="false" sqref="C5:C69" type="list">
      <formula1>"Individual,HUF,Company,LLP,Partnership,Trust,FPI,NRI,Other"</formula1>
      <formula2>0</formula2>
    </dataValidation>
    <dataValidation allowBlank="false" errorStyle="stop" operator="between" showDropDown="false" showErrorMessage="false" showInputMessage="false" sqref="I5:I69" type="list">
      <formula1>"Pending,In Progress,Completed,Rejected"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701A"/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46" t="s">
        <v>201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customFormat="false" ht="18" hidden="false" customHeight="true" outlineLevel="0" collapsed="false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customFormat="false" ht="21.75" hidden="false" customHeight="true" outlineLevel="0" collapsed="false">
      <c r="A3" s="65" t="s">
        <v>202</v>
      </c>
      <c r="B3" s="65"/>
      <c r="C3" s="65"/>
      <c r="D3" s="65"/>
      <c r="E3" s="65"/>
      <c r="F3" s="66" t="n">
        <f aca="false">SUMIF(G5:G104,"Confirmed",F5:F104)</f>
        <v>0</v>
      </c>
      <c r="G3" s="67" t="s">
        <v>203</v>
      </c>
      <c r="H3" s="67"/>
      <c r="I3" s="67"/>
      <c r="J3" s="67"/>
      <c r="K3" s="67"/>
      <c r="L3" s="67"/>
      <c r="M3" s="67"/>
    </row>
    <row r="4" customFormat="false" ht="30" hidden="false" customHeight="true" outlineLevel="0" collapsed="false">
      <c r="A4" s="50" t="s">
        <v>124</v>
      </c>
      <c r="B4" s="50" t="s">
        <v>204</v>
      </c>
      <c r="C4" s="50" t="s">
        <v>132</v>
      </c>
      <c r="D4" s="50" t="s">
        <v>134</v>
      </c>
      <c r="E4" s="50" t="s">
        <v>133</v>
      </c>
      <c r="F4" s="50" t="s">
        <v>205</v>
      </c>
      <c r="G4" s="50" t="s">
        <v>206</v>
      </c>
      <c r="H4" s="50" t="s">
        <v>207</v>
      </c>
      <c r="I4" s="50" t="s">
        <v>208</v>
      </c>
      <c r="J4" s="50" t="s">
        <v>209</v>
      </c>
      <c r="K4" s="50" t="s">
        <v>210</v>
      </c>
      <c r="L4" s="50" t="s">
        <v>211</v>
      </c>
      <c r="M4" s="50" t="s">
        <v>52</v>
      </c>
    </row>
    <row r="5" customFormat="false" ht="18" hidden="false" customHeight="true" outlineLevel="0" collapsed="false">
      <c r="A5" s="68" t="n">
        <v>1</v>
      </c>
      <c r="B5" s="18"/>
      <c r="C5" s="18"/>
      <c r="D5" s="18"/>
      <c r="E5" s="18"/>
      <c r="F5" s="19"/>
      <c r="G5" s="18"/>
      <c r="H5" s="20"/>
      <c r="I5" s="20"/>
      <c r="J5" s="18"/>
      <c r="K5" s="20"/>
      <c r="L5" s="18"/>
      <c r="M5" s="18"/>
    </row>
    <row r="6" customFormat="false" ht="18" hidden="false" customHeight="true" outlineLevel="0" collapsed="false">
      <c r="A6" s="69" t="n">
        <v>2</v>
      </c>
      <c r="B6" s="21"/>
      <c r="C6" s="21"/>
      <c r="D6" s="21"/>
      <c r="E6" s="21"/>
      <c r="F6" s="22"/>
      <c r="G6" s="21"/>
      <c r="H6" s="23"/>
      <c r="I6" s="23"/>
      <c r="J6" s="21"/>
      <c r="K6" s="23"/>
      <c r="L6" s="21"/>
      <c r="M6" s="21"/>
    </row>
    <row r="7" customFormat="false" ht="18" hidden="false" customHeight="true" outlineLevel="0" collapsed="false">
      <c r="A7" s="68" t="n">
        <v>3</v>
      </c>
      <c r="B7" s="18"/>
      <c r="C7" s="18"/>
      <c r="D7" s="18"/>
      <c r="E7" s="18"/>
      <c r="F7" s="19"/>
      <c r="G7" s="18"/>
      <c r="H7" s="20"/>
      <c r="I7" s="20"/>
      <c r="J7" s="18"/>
      <c r="K7" s="20"/>
      <c r="L7" s="18"/>
      <c r="M7" s="18"/>
    </row>
    <row r="8" customFormat="false" ht="18" hidden="false" customHeight="true" outlineLevel="0" collapsed="false">
      <c r="A8" s="69" t="n">
        <v>4</v>
      </c>
      <c r="B8" s="21"/>
      <c r="C8" s="21"/>
      <c r="D8" s="21"/>
      <c r="E8" s="21"/>
      <c r="F8" s="22"/>
      <c r="G8" s="21"/>
      <c r="H8" s="23"/>
      <c r="I8" s="23"/>
      <c r="J8" s="21"/>
      <c r="K8" s="23"/>
      <c r="L8" s="21"/>
      <c r="M8" s="21"/>
    </row>
    <row r="9" customFormat="false" ht="18" hidden="false" customHeight="true" outlineLevel="0" collapsed="false">
      <c r="A9" s="68" t="n">
        <v>5</v>
      </c>
      <c r="B9" s="18"/>
      <c r="C9" s="18"/>
      <c r="D9" s="18"/>
      <c r="E9" s="18"/>
      <c r="F9" s="19"/>
      <c r="G9" s="18"/>
      <c r="H9" s="20"/>
      <c r="I9" s="20"/>
      <c r="J9" s="18"/>
      <c r="K9" s="20"/>
      <c r="L9" s="18"/>
      <c r="M9" s="18"/>
    </row>
    <row r="10" customFormat="false" ht="18" hidden="false" customHeight="true" outlineLevel="0" collapsed="false">
      <c r="A10" s="69" t="n">
        <v>6</v>
      </c>
      <c r="B10" s="21"/>
      <c r="C10" s="21"/>
      <c r="D10" s="21"/>
      <c r="E10" s="21"/>
      <c r="F10" s="22"/>
      <c r="G10" s="21"/>
      <c r="H10" s="23"/>
      <c r="I10" s="23"/>
      <c r="J10" s="21"/>
      <c r="K10" s="23"/>
      <c r="L10" s="21"/>
      <c r="M10" s="21"/>
    </row>
    <row r="11" customFormat="false" ht="18" hidden="false" customHeight="true" outlineLevel="0" collapsed="false">
      <c r="A11" s="68" t="n">
        <v>7</v>
      </c>
      <c r="B11" s="18"/>
      <c r="C11" s="18"/>
      <c r="D11" s="18"/>
      <c r="E11" s="18"/>
      <c r="F11" s="19"/>
      <c r="G11" s="18"/>
      <c r="H11" s="20"/>
      <c r="I11" s="20"/>
      <c r="J11" s="18"/>
      <c r="K11" s="20"/>
      <c r="L11" s="18"/>
      <c r="M11" s="18"/>
    </row>
    <row r="12" customFormat="false" ht="18" hidden="false" customHeight="true" outlineLevel="0" collapsed="false">
      <c r="A12" s="69" t="n">
        <v>8</v>
      </c>
      <c r="B12" s="21"/>
      <c r="C12" s="21"/>
      <c r="D12" s="21"/>
      <c r="E12" s="21"/>
      <c r="F12" s="22"/>
      <c r="G12" s="21"/>
      <c r="H12" s="23"/>
      <c r="I12" s="23"/>
      <c r="J12" s="21"/>
      <c r="K12" s="23"/>
      <c r="L12" s="21"/>
      <c r="M12" s="21"/>
    </row>
    <row r="13" customFormat="false" ht="18" hidden="false" customHeight="true" outlineLevel="0" collapsed="false">
      <c r="A13" s="68" t="n">
        <v>9</v>
      </c>
      <c r="B13" s="18"/>
      <c r="C13" s="18"/>
      <c r="D13" s="18"/>
      <c r="E13" s="18"/>
      <c r="F13" s="19"/>
      <c r="G13" s="18"/>
      <c r="H13" s="20"/>
      <c r="I13" s="20"/>
      <c r="J13" s="18"/>
      <c r="K13" s="20"/>
      <c r="L13" s="18"/>
      <c r="M13" s="18"/>
    </row>
    <row r="14" customFormat="false" ht="18" hidden="false" customHeight="true" outlineLevel="0" collapsed="false">
      <c r="A14" s="69" t="n">
        <v>10</v>
      </c>
      <c r="B14" s="21"/>
      <c r="C14" s="21"/>
      <c r="D14" s="21"/>
      <c r="E14" s="21"/>
      <c r="F14" s="22"/>
      <c r="G14" s="21"/>
      <c r="H14" s="23"/>
      <c r="I14" s="23"/>
      <c r="J14" s="21"/>
      <c r="K14" s="23"/>
      <c r="L14" s="21"/>
      <c r="M14" s="21"/>
    </row>
    <row r="15" customFormat="false" ht="18" hidden="false" customHeight="true" outlineLevel="0" collapsed="false">
      <c r="A15" s="68" t="n">
        <v>11</v>
      </c>
      <c r="B15" s="18"/>
      <c r="C15" s="18"/>
      <c r="D15" s="18"/>
      <c r="E15" s="18"/>
      <c r="F15" s="19"/>
      <c r="G15" s="18"/>
      <c r="H15" s="20"/>
      <c r="I15" s="20"/>
      <c r="J15" s="18"/>
      <c r="K15" s="20"/>
      <c r="L15" s="18"/>
      <c r="M15" s="18"/>
    </row>
    <row r="16" customFormat="false" ht="18" hidden="false" customHeight="true" outlineLevel="0" collapsed="false">
      <c r="A16" s="69" t="n">
        <v>12</v>
      </c>
      <c r="B16" s="21"/>
      <c r="C16" s="21"/>
      <c r="D16" s="21"/>
      <c r="E16" s="21"/>
      <c r="F16" s="22"/>
      <c r="G16" s="21"/>
      <c r="H16" s="23"/>
      <c r="I16" s="23"/>
      <c r="J16" s="21"/>
      <c r="K16" s="23"/>
      <c r="L16" s="21"/>
      <c r="M16" s="21"/>
    </row>
    <row r="17" customFormat="false" ht="18" hidden="false" customHeight="true" outlineLevel="0" collapsed="false">
      <c r="A17" s="68" t="n">
        <v>13</v>
      </c>
      <c r="B17" s="18"/>
      <c r="C17" s="18"/>
      <c r="D17" s="18"/>
      <c r="E17" s="18"/>
      <c r="F17" s="19"/>
      <c r="G17" s="18"/>
      <c r="H17" s="20"/>
      <c r="I17" s="20"/>
      <c r="J17" s="18"/>
      <c r="K17" s="20"/>
      <c r="L17" s="18"/>
      <c r="M17" s="18"/>
    </row>
    <row r="18" customFormat="false" ht="18" hidden="false" customHeight="true" outlineLevel="0" collapsed="false">
      <c r="A18" s="69" t="n">
        <v>14</v>
      </c>
      <c r="B18" s="21"/>
      <c r="C18" s="21"/>
      <c r="D18" s="21"/>
      <c r="E18" s="21"/>
      <c r="F18" s="22"/>
      <c r="G18" s="21"/>
      <c r="H18" s="23"/>
      <c r="I18" s="23"/>
      <c r="J18" s="21"/>
      <c r="K18" s="23"/>
      <c r="L18" s="21"/>
      <c r="M18" s="21"/>
    </row>
    <row r="19" customFormat="false" ht="18" hidden="false" customHeight="true" outlineLevel="0" collapsed="false">
      <c r="A19" s="68" t="n">
        <v>15</v>
      </c>
      <c r="B19" s="18"/>
      <c r="C19" s="18"/>
      <c r="D19" s="18"/>
      <c r="E19" s="18"/>
      <c r="F19" s="19"/>
      <c r="G19" s="18"/>
      <c r="H19" s="20"/>
      <c r="I19" s="20"/>
      <c r="J19" s="18"/>
      <c r="K19" s="20"/>
      <c r="L19" s="18"/>
      <c r="M19" s="18"/>
    </row>
    <row r="20" customFormat="false" ht="18" hidden="false" customHeight="true" outlineLevel="0" collapsed="false">
      <c r="A20" s="69" t="n">
        <v>16</v>
      </c>
      <c r="B20" s="21"/>
      <c r="C20" s="21"/>
      <c r="D20" s="21"/>
      <c r="E20" s="21"/>
      <c r="F20" s="22"/>
      <c r="G20" s="21"/>
      <c r="H20" s="23"/>
      <c r="I20" s="23"/>
      <c r="J20" s="21"/>
      <c r="K20" s="23"/>
      <c r="L20" s="21"/>
      <c r="M20" s="21"/>
    </row>
    <row r="21" customFormat="false" ht="18" hidden="false" customHeight="true" outlineLevel="0" collapsed="false">
      <c r="A21" s="68" t="n">
        <v>17</v>
      </c>
      <c r="B21" s="18"/>
      <c r="C21" s="18"/>
      <c r="D21" s="18"/>
      <c r="E21" s="18"/>
      <c r="F21" s="19"/>
      <c r="G21" s="18"/>
      <c r="H21" s="20"/>
      <c r="I21" s="20"/>
      <c r="J21" s="18"/>
      <c r="K21" s="20"/>
      <c r="L21" s="18"/>
      <c r="M21" s="18"/>
    </row>
    <row r="22" customFormat="false" ht="18" hidden="false" customHeight="true" outlineLevel="0" collapsed="false">
      <c r="A22" s="69" t="n">
        <v>18</v>
      </c>
      <c r="B22" s="21"/>
      <c r="C22" s="21"/>
      <c r="D22" s="21"/>
      <c r="E22" s="21"/>
      <c r="F22" s="22"/>
      <c r="G22" s="21"/>
      <c r="H22" s="23"/>
      <c r="I22" s="23"/>
      <c r="J22" s="21"/>
      <c r="K22" s="23"/>
      <c r="L22" s="21"/>
      <c r="M22" s="21"/>
    </row>
    <row r="23" customFormat="false" ht="18" hidden="false" customHeight="true" outlineLevel="0" collapsed="false">
      <c r="A23" s="68" t="n">
        <v>19</v>
      </c>
      <c r="B23" s="18"/>
      <c r="C23" s="18"/>
      <c r="D23" s="18"/>
      <c r="E23" s="18"/>
      <c r="F23" s="19"/>
      <c r="G23" s="18"/>
      <c r="H23" s="20"/>
      <c r="I23" s="20"/>
      <c r="J23" s="18"/>
      <c r="K23" s="20"/>
      <c r="L23" s="18"/>
      <c r="M23" s="18"/>
    </row>
    <row r="24" customFormat="false" ht="18" hidden="false" customHeight="true" outlineLevel="0" collapsed="false">
      <c r="A24" s="69" t="n">
        <v>20</v>
      </c>
      <c r="B24" s="21"/>
      <c r="C24" s="21"/>
      <c r="D24" s="21"/>
      <c r="E24" s="21"/>
      <c r="F24" s="22"/>
      <c r="G24" s="21"/>
      <c r="H24" s="23"/>
      <c r="I24" s="23"/>
      <c r="J24" s="21"/>
      <c r="K24" s="23"/>
      <c r="L24" s="21"/>
      <c r="M24" s="21"/>
    </row>
    <row r="25" customFormat="false" ht="18" hidden="false" customHeight="true" outlineLevel="0" collapsed="false">
      <c r="A25" s="68" t="n">
        <v>21</v>
      </c>
      <c r="B25" s="18"/>
      <c r="C25" s="18"/>
      <c r="D25" s="18"/>
      <c r="E25" s="18"/>
      <c r="F25" s="19"/>
      <c r="G25" s="18"/>
      <c r="H25" s="20"/>
      <c r="I25" s="20"/>
      <c r="J25" s="18"/>
      <c r="K25" s="20"/>
      <c r="L25" s="18"/>
      <c r="M25" s="18"/>
    </row>
    <row r="26" customFormat="false" ht="18" hidden="false" customHeight="true" outlineLevel="0" collapsed="false">
      <c r="A26" s="69" t="n">
        <v>22</v>
      </c>
      <c r="B26" s="21"/>
      <c r="C26" s="21"/>
      <c r="D26" s="21"/>
      <c r="E26" s="21"/>
      <c r="F26" s="22"/>
      <c r="G26" s="21"/>
      <c r="H26" s="23"/>
      <c r="I26" s="23"/>
      <c r="J26" s="21"/>
      <c r="K26" s="23"/>
      <c r="L26" s="21"/>
      <c r="M26" s="21"/>
    </row>
    <row r="27" customFormat="false" ht="18" hidden="false" customHeight="true" outlineLevel="0" collapsed="false">
      <c r="A27" s="68" t="n">
        <v>23</v>
      </c>
      <c r="B27" s="18"/>
      <c r="C27" s="18"/>
      <c r="D27" s="18"/>
      <c r="E27" s="18"/>
      <c r="F27" s="19"/>
      <c r="G27" s="18"/>
      <c r="H27" s="20"/>
      <c r="I27" s="20"/>
      <c r="J27" s="18"/>
      <c r="K27" s="20"/>
      <c r="L27" s="18"/>
      <c r="M27" s="18"/>
    </row>
    <row r="28" customFormat="false" ht="18" hidden="false" customHeight="true" outlineLevel="0" collapsed="false">
      <c r="A28" s="69" t="n">
        <v>24</v>
      </c>
      <c r="B28" s="21"/>
      <c r="C28" s="21"/>
      <c r="D28" s="21"/>
      <c r="E28" s="21"/>
      <c r="F28" s="22"/>
      <c r="G28" s="21"/>
      <c r="H28" s="23"/>
      <c r="I28" s="23"/>
      <c r="J28" s="21"/>
      <c r="K28" s="23"/>
      <c r="L28" s="21"/>
      <c r="M28" s="21"/>
    </row>
    <row r="29" customFormat="false" ht="18" hidden="false" customHeight="true" outlineLevel="0" collapsed="false">
      <c r="A29" s="68" t="n">
        <v>25</v>
      </c>
      <c r="B29" s="18"/>
      <c r="C29" s="18"/>
      <c r="D29" s="18"/>
      <c r="E29" s="18"/>
      <c r="F29" s="19"/>
      <c r="G29" s="18"/>
      <c r="H29" s="20"/>
      <c r="I29" s="20"/>
      <c r="J29" s="18"/>
      <c r="K29" s="20"/>
      <c r="L29" s="18"/>
      <c r="M29" s="18"/>
    </row>
    <row r="30" customFormat="false" ht="18" hidden="false" customHeight="true" outlineLevel="0" collapsed="false">
      <c r="A30" s="69" t="n">
        <v>26</v>
      </c>
      <c r="B30" s="21"/>
      <c r="C30" s="21"/>
      <c r="D30" s="21"/>
      <c r="E30" s="21"/>
      <c r="F30" s="22"/>
      <c r="G30" s="21"/>
      <c r="H30" s="23"/>
      <c r="I30" s="23"/>
      <c r="J30" s="21"/>
      <c r="K30" s="23"/>
      <c r="L30" s="21"/>
      <c r="M30" s="21"/>
    </row>
    <row r="31" customFormat="false" ht="18" hidden="false" customHeight="true" outlineLevel="0" collapsed="false">
      <c r="A31" s="68" t="n">
        <v>27</v>
      </c>
      <c r="B31" s="18"/>
      <c r="C31" s="18"/>
      <c r="D31" s="18"/>
      <c r="E31" s="18"/>
      <c r="F31" s="19"/>
      <c r="G31" s="18"/>
      <c r="H31" s="20"/>
      <c r="I31" s="20"/>
      <c r="J31" s="18"/>
      <c r="K31" s="20"/>
      <c r="L31" s="18"/>
      <c r="M31" s="18"/>
    </row>
    <row r="32" customFormat="false" ht="18" hidden="false" customHeight="true" outlineLevel="0" collapsed="false">
      <c r="A32" s="69" t="n">
        <v>28</v>
      </c>
      <c r="B32" s="21"/>
      <c r="C32" s="21"/>
      <c r="D32" s="21"/>
      <c r="E32" s="21"/>
      <c r="F32" s="22"/>
      <c r="G32" s="21"/>
      <c r="H32" s="23"/>
      <c r="I32" s="23"/>
      <c r="J32" s="21"/>
      <c r="K32" s="23"/>
      <c r="L32" s="21"/>
      <c r="M32" s="21"/>
    </row>
    <row r="33" customFormat="false" ht="18" hidden="false" customHeight="true" outlineLevel="0" collapsed="false">
      <c r="A33" s="68" t="n">
        <v>29</v>
      </c>
      <c r="B33" s="18"/>
      <c r="C33" s="18"/>
      <c r="D33" s="18"/>
      <c r="E33" s="18"/>
      <c r="F33" s="19"/>
      <c r="G33" s="18"/>
      <c r="H33" s="20"/>
      <c r="I33" s="20"/>
      <c r="J33" s="18"/>
      <c r="K33" s="20"/>
      <c r="L33" s="18"/>
      <c r="M33" s="18"/>
    </row>
    <row r="34" customFormat="false" ht="18" hidden="false" customHeight="true" outlineLevel="0" collapsed="false">
      <c r="A34" s="69" t="n">
        <v>30</v>
      </c>
      <c r="B34" s="21"/>
      <c r="C34" s="21"/>
      <c r="D34" s="21"/>
      <c r="E34" s="21"/>
      <c r="F34" s="22"/>
      <c r="G34" s="21"/>
      <c r="H34" s="23"/>
      <c r="I34" s="23"/>
      <c r="J34" s="21"/>
      <c r="K34" s="23"/>
      <c r="L34" s="21"/>
      <c r="M34" s="21"/>
    </row>
    <row r="35" customFormat="false" ht="18" hidden="false" customHeight="true" outlineLevel="0" collapsed="false">
      <c r="A35" s="68" t="n">
        <v>31</v>
      </c>
      <c r="B35" s="18"/>
      <c r="C35" s="18"/>
      <c r="D35" s="18"/>
      <c r="E35" s="18"/>
      <c r="F35" s="19"/>
      <c r="G35" s="18"/>
      <c r="H35" s="20"/>
      <c r="I35" s="20"/>
      <c r="J35" s="18"/>
      <c r="K35" s="20"/>
      <c r="L35" s="18"/>
      <c r="M35" s="18"/>
    </row>
    <row r="36" customFormat="false" ht="18" hidden="false" customHeight="true" outlineLevel="0" collapsed="false">
      <c r="A36" s="69" t="n">
        <v>32</v>
      </c>
      <c r="B36" s="21"/>
      <c r="C36" s="21"/>
      <c r="D36" s="21"/>
      <c r="E36" s="21"/>
      <c r="F36" s="22"/>
      <c r="G36" s="21"/>
      <c r="H36" s="23"/>
      <c r="I36" s="23"/>
      <c r="J36" s="21"/>
      <c r="K36" s="23"/>
      <c r="L36" s="21"/>
      <c r="M36" s="21"/>
    </row>
    <row r="37" customFormat="false" ht="18" hidden="false" customHeight="true" outlineLevel="0" collapsed="false">
      <c r="A37" s="68" t="n">
        <v>33</v>
      </c>
      <c r="B37" s="18"/>
      <c r="C37" s="18"/>
      <c r="D37" s="18"/>
      <c r="E37" s="18"/>
      <c r="F37" s="19"/>
      <c r="G37" s="18"/>
      <c r="H37" s="20"/>
      <c r="I37" s="20"/>
      <c r="J37" s="18"/>
      <c r="K37" s="20"/>
      <c r="L37" s="18"/>
      <c r="M37" s="18"/>
    </row>
    <row r="38" customFormat="false" ht="18" hidden="false" customHeight="true" outlineLevel="0" collapsed="false">
      <c r="A38" s="69" t="n">
        <v>34</v>
      </c>
      <c r="B38" s="21"/>
      <c r="C38" s="21"/>
      <c r="D38" s="21"/>
      <c r="E38" s="21"/>
      <c r="F38" s="22"/>
      <c r="G38" s="21"/>
      <c r="H38" s="23"/>
      <c r="I38" s="23"/>
      <c r="J38" s="21"/>
      <c r="K38" s="23"/>
      <c r="L38" s="21"/>
      <c r="M38" s="21"/>
    </row>
    <row r="39" customFormat="false" ht="18" hidden="false" customHeight="true" outlineLevel="0" collapsed="false">
      <c r="A39" s="68" t="n">
        <v>35</v>
      </c>
      <c r="B39" s="18"/>
      <c r="C39" s="18"/>
      <c r="D39" s="18"/>
      <c r="E39" s="18"/>
      <c r="F39" s="19"/>
      <c r="G39" s="18"/>
      <c r="H39" s="20"/>
      <c r="I39" s="20"/>
      <c r="J39" s="18"/>
      <c r="K39" s="20"/>
      <c r="L39" s="18"/>
      <c r="M39" s="18"/>
    </row>
    <row r="40" customFormat="false" ht="18" hidden="false" customHeight="true" outlineLevel="0" collapsed="false">
      <c r="A40" s="69" t="n">
        <v>36</v>
      </c>
      <c r="B40" s="21"/>
      <c r="C40" s="21"/>
      <c r="D40" s="21"/>
      <c r="E40" s="21"/>
      <c r="F40" s="22"/>
      <c r="G40" s="21"/>
      <c r="H40" s="23"/>
      <c r="I40" s="23"/>
      <c r="J40" s="21"/>
      <c r="K40" s="23"/>
      <c r="L40" s="21"/>
      <c r="M40" s="21"/>
    </row>
    <row r="41" customFormat="false" ht="18" hidden="false" customHeight="true" outlineLevel="0" collapsed="false">
      <c r="A41" s="68" t="n">
        <v>37</v>
      </c>
      <c r="B41" s="18"/>
      <c r="C41" s="18"/>
      <c r="D41" s="18"/>
      <c r="E41" s="18"/>
      <c r="F41" s="19"/>
      <c r="G41" s="18"/>
      <c r="H41" s="20"/>
      <c r="I41" s="20"/>
      <c r="J41" s="18"/>
      <c r="K41" s="20"/>
      <c r="L41" s="18"/>
      <c r="M41" s="18"/>
    </row>
    <row r="42" customFormat="false" ht="18" hidden="false" customHeight="true" outlineLevel="0" collapsed="false">
      <c r="A42" s="69" t="n">
        <v>38</v>
      </c>
      <c r="B42" s="21"/>
      <c r="C42" s="21"/>
      <c r="D42" s="21"/>
      <c r="E42" s="21"/>
      <c r="F42" s="22"/>
      <c r="G42" s="21"/>
      <c r="H42" s="23"/>
      <c r="I42" s="23"/>
      <c r="J42" s="21"/>
      <c r="K42" s="23"/>
      <c r="L42" s="21"/>
      <c r="M42" s="21"/>
    </row>
    <row r="43" customFormat="false" ht="18" hidden="false" customHeight="true" outlineLevel="0" collapsed="false">
      <c r="A43" s="68" t="n">
        <v>39</v>
      </c>
      <c r="B43" s="18"/>
      <c r="C43" s="18"/>
      <c r="D43" s="18"/>
      <c r="E43" s="18"/>
      <c r="F43" s="19"/>
      <c r="G43" s="18"/>
      <c r="H43" s="20"/>
      <c r="I43" s="20"/>
      <c r="J43" s="18"/>
      <c r="K43" s="20"/>
      <c r="L43" s="18"/>
      <c r="M43" s="18"/>
    </row>
    <row r="44" customFormat="false" ht="18" hidden="false" customHeight="true" outlineLevel="0" collapsed="false">
      <c r="A44" s="69" t="n">
        <v>40</v>
      </c>
      <c r="B44" s="21"/>
      <c r="C44" s="21"/>
      <c r="D44" s="21"/>
      <c r="E44" s="21"/>
      <c r="F44" s="22"/>
      <c r="G44" s="21"/>
      <c r="H44" s="23"/>
      <c r="I44" s="23"/>
      <c r="J44" s="21"/>
      <c r="K44" s="23"/>
      <c r="L44" s="21"/>
      <c r="M44" s="21"/>
    </row>
    <row r="45" customFormat="false" ht="18" hidden="false" customHeight="true" outlineLevel="0" collapsed="false">
      <c r="A45" s="68" t="n">
        <v>41</v>
      </c>
      <c r="B45" s="18"/>
      <c r="C45" s="18"/>
      <c r="D45" s="18"/>
      <c r="E45" s="18"/>
      <c r="F45" s="19"/>
      <c r="G45" s="18"/>
      <c r="H45" s="20"/>
      <c r="I45" s="20"/>
      <c r="J45" s="18"/>
      <c r="K45" s="20"/>
      <c r="L45" s="18"/>
      <c r="M45" s="18"/>
    </row>
    <row r="46" customFormat="false" ht="18" hidden="false" customHeight="true" outlineLevel="0" collapsed="false">
      <c r="A46" s="69" t="n">
        <v>42</v>
      </c>
      <c r="B46" s="21"/>
      <c r="C46" s="21"/>
      <c r="D46" s="21"/>
      <c r="E46" s="21"/>
      <c r="F46" s="22"/>
      <c r="G46" s="21"/>
      <c r="H46" s="23"/>
      <c r="I46" s="23"/>
      <c r="J46" s="21"/>
      <c r="K46" s="23"/>
      <c r="L46" s="21"/>
      <c r="M46" s="21"/>
    </row>
    <row r="47" customFormat="false" ht="18" hidden="false" customHeight="true" outlineLevel="0" collapsed="false">
      <c r="A47" s="68" t="n">
        <v>43</v>
      </c>
      <c r="B47" s="18"/>
      <c r="C47" s="18"/>
      <c r="D47" s="18"/>
      <c r="E47" s="18"/>
      <c r="F47" s="19"/>
      <c r="G47" s="18"/>
      <c r="H47" s="20"/>
      <c r="I47" s="20"/>
      <c r="J47" s="18"/>
      <c r="K47" s="20"/>
      <c r="L47" s="18"/>
      <c r="M47" s="18"/>
    </row>
    <row r="48" customFormat="false" ht="18" hidden="false" customHeight="true" outlineLevel="0" collapsed="false">
      <c r="A48" s="69" t="n">
        <v>44</v>
      </c>
      <c r="B48" s="21"/>
      <c r="C48" s="21"/>
      <c r="D48" s="21"/>
      <c r="E48" s="21"/>
      <c r="F48" s="22"/>
      <c r="G48" s="21"/>
      <c r="H48" s="23"/>
      <c r="I48" s="23"/>
      <c r="J48" s="21"/>
      <c r="K48" s="23"/>
      <c r="L48" s="21"/>
      <c r="M48" s="21"/>
    </row>
    <row r="49" customFormat="false" ht="18" hidden="false" customHeight="true" outlineLevel="0" collapsed="false">
      <c r="A49" s="68" t="n">
        <v>45</v>
      </c>
      <c r="B49" s="18"/>
      <c r="C49" s="18"/>
      <c r="D49" s="18"/>
      <c r="E49" s="18"/>
      <c r="F49" s="19"/>
      <c r="G49" s="18"/>
      <c r="H49" s="20"/>
      <c r="I49" s="20"/>
      <c r="J49" s="18"/>
      <c r="K49" s="20"/>
      <c r="L49" s="18"/>
      <c r="M49" s="18"/>
    </row>
    <row r="50" customFormat="false" ht="18" hidden="false" customHeight="true" outlineLevel="0" collapsed="false">
      <c r="A50" s="69" t="n">
        <v>46</v>
      </c>
      <c r="B50" s="21"/>
      <c r="C50" s="21"/>
      <c r="D50" s="21"/>
      <c r="E50" s="21"/>
      <c r="F50" s="22"/>
      <c r="G50" s="21"/>
      <c r="H50" s="23"/>
      <c r="I50" s="23"/>
      <c r="J50" s="21"/>
      <c r="K50" s="23"/>
      <c r="L50" s="21"/>
      <c r="M50" s="21"/>
    </row>
    <row r="51" customFormat="false" ht="18" hidden="false" customHeight="true" outlineLevel="0" collapsed="false">
      <c r="A51" s="68" t="n">
        <v>47</v>
      </c>
      <c r="B51" s="18"/>
      <c r="C51" s="18"/>
      <c r="D51" s="18"/>
      <c r="E51" s="18"/>
      <c r="F51" s="19"/>
      <c r="G51" s="18"/>
      <c r="H51" s="20"/>
      <c r="I51" s="20"/>
      <c r="J51" s="18"/>
      <c r="K51" s="20"/>
      <c r="L51" s="18"/>
      <c r="M51" s="18"/>
    </row>
    <row r="52" customFormat="false" ht="18" hidden="false" customHeight="true" outlineLevel="0" collapsed="false">
      <c r="A52" s="69" t="n">
        <v>48</v>
      </c>
      <c r="B52" s="21"/>
      <c r="C52" s="21"/>
      <c r="D52" s="21"/>
      <c r="E52" s="21"/>
      <c r="F52" s="22"/>
      <c r="G52" s="21"/>
      <c r="H52" s="23"/>
      <c r="I52" s="23"/>
      <c r="J52" s="21"/>
      <c r="K52" s="23"/>
      <c r="L52" s="21"/>
      <c r="M52" s="21"/>
    </row>
    <row r="53" customFormat="false" ht="18" hidden="false" customHeight="true" outlineLevel="0" collapsed="false">
      <c r="A53" s="68" t="n">
        <v>49</v>
      </c>
      <c r="B53" s="18"/>
      <c r="C53" s="18"/>
      <c r="D53" s="18"/>
      <c r="E53" s="18"/>
      <c r="F53" s="19"/>
      <c r="G53" s="18"/>
      <c r="H53" s="20"/>
      <c r="I53" s="20"/>
      <c r="J53" s="18"/>
      <c r="K53" s="20"/>
      <c r="L53" s="18"/>
      <c r="M53" s="18"/>
    </row>
    <row r="54" customFormat="false" ht="18" hidden="false" customHeight="true" outlineLevel="0" collapsed="false">
      <c r="A54" s="69" t="n">
        <v>50</v>
      </c>
      <c r="B54" s="21"/>
      <c r="C54" s="21"/>
      <c r="D54" s="21"/>
      <c r="E54" s="21"/>
      <c r="F54" s="22"/>
      <c r="G54" s="21"/>
      <c r="H54" s="23"/>
      <c r="I54" s="23"/>
      <c r="J54" s="21"/>
      <c r="K54" s="23"/>
      <c r="L54" s="21"/>
      <c r="M54" s="21"/>
    </row>
    <row r="55" customFormat="false" ht="18" hidden="false" customHeight="true" outlineLevel="0" collapsed="false">
      <c r="A55" s="68" t="n">
        <v>51</v>
      </c>
      <c r="B55" s="18"/>
      <c r="C55" s="18"/>
      <c r="D55" s="18"/>
      <c r="E55" s="18"/>
      <c r="F55" s="19"/>
      <c r="G55" s="18"/>
      <c r="H55" s="20"/>
      <c r="I55" s="20"/>
      <c r="J55" s="18"/>
      <c r="K55" s="20"/>
      <c r="L55" s="18"/>
      <c r="M55" s="18"/>
    </row>
    <row r="56" customFormat="false" ht="18" hidden="false" customHeight="true" outlineLevel="0" collapsed="false">
      <c r="A56" s="69" t="n">
        <v>52</v>
      </c>
      <c r="B56" s="21"/>
      <c r="C56" s="21"/>
      <c r="D56" s="21"/>
      <c r="E56" s="21"/>
      <c r="F56" s="22"/>
      <c r="G56" s="21"/>
      <c r="H56" s="23"/>
      <c r="I56" s="23"/>
      <c r="J56" s="21"/>
      <c r="K56" s="23"/>
      <c r="L56" s="21"/>
      <c r="M56" s="21"/>
    </row>
    <row r="57" customFormat="false" ht="18" hidden="false" customHeight="true" outlineLevel="0" collapsed="false">
      <c r="A57" s="68" t="n">
        <v>53</v>
      </c>
      <c r="B57" s="18"/>
      <c r="C57" s="18"/>
      <c r="D57" s="18"/>
      <c r="E57" s="18"/>
      <c r="F57" s="19"/>
      <c r="G57" s="18"/>
      <c r="H57" s="20"/>
      <c r="I57" s="20"/>
      <c r="J57" s="18"/>
      <c r="K57" s="20"/>
      <c r="L57" s="18"/>
      <c r="M57" s="18"/>
    </row>
    <row r="58" customFormat="false" ht="18" hidden="false" customHeight="true" outlineLevel="0" collapsed="false">
      <c r="A58" s="69" t="n">
        <v>54</v>
      </c>
      <c r="B58" s="21"/>
      <c r="C58" s="21"/>
      <c r="D58" s="21"/>
      <c r="E58" s="21"/>
      <c r="F58" s="22"/>
      <c r="G58" s="21"/>
      <c r="H58" s="23"/>
      <c r="I58" s="23"/>
      <c r="J58" s="21"/>
      <c r="K58" s="23"/>
      <c r="L58" s="21"/>
      <c r="M58" s="21"/>
    </row>
    <row r="59" customFormat="false" ht="18" hidden="false" customHeight="true" outlineLevel="0" collapsed="false">
      <c r="A59" s="68" t="n">
        <v>55</v>
      </c>
      <c r="B59" s="18"/>
      <c r="C59" s="18"/>
      <c r="D59" s="18"/>
      <c r="E59" s="18"/>
      <c r="F59" s="19"/>
      <c r="G59" s="18"/>
      <c r="H59" s="20"/>
      <c r="I59" s="20"/>
      <c r="J59" s="18"/>
      <c r="K59" s="20"/>
      <c r="L59" s="18"/>
      <c r="M59" s="18"/>
    </row>
    <row r="60" customFormat="false" ht="18" hidden="false" customHeight="true" outlineLevel="0" collapsed="false">
      <c r="A60" s="69" t="n">
        <v>56</v>
      </c>
      <c r="B60" s="21"/>
      <c r="C60" s="21"/>
      <c r="D60" s="21"/>
      <c r="E60" s="21"/>
      <c r="F60" s="22"/>
      <c r="G60" s="21"/>
      <c r="H60" s="23"/>
      <c r="I60" s="23"/>
      <c r="J60" s="21"/>
      <c r="K60" s="23"/>
      <c r="L60" s="21"/>
      <c r="M60" s="21"/>
    </row>
    <row r="61" customFormat="false" ht="18" hidden="false" customHeight="true" outlineLevel="0" collapsed="false">
      <c r="A61" s="68" t="n">
        <v>57</v>
      </c>
      <c r="B61" s="18"/>
      <c r="C61" s="18"/>
      <c r="D61" s="18"/>
      <c r="E61" s="18"/>
      <c r="F61" s="19"/>
      <c r="G61" s="18"/>
      <c r="H61" s="20"/>
      <c r="I61" s="20"/>
      <c r="J61" s="18"/>
      <c r="K61" s="20"/>
      <c r="L61" s="18"/>
      <c r="M61" s="18"/>
    </row>
    <row r="62" customFormat="false" ht="18" hidden="false" customHeight="true" outlineLevel="0" collapsed="false">
      <c r="A62" s="69" t="n">
        <v>58</v>
      </c>
      <c r="B62" s="21"/>
      <c r="C62" s="21"/>
      <c r="D62" s="21"/>
      <c r="E62" s="21"/>
      <c r="F62" s="22"/>
      <c r="G62" s="21"/>
      <c r="H62" s="23"/>
      <c r="I62" s="23"/>
      <c r="J62" s="21"/>
      <c r="K62" s="23"/>
      <c r="L62" s="21"/>
      <c r="M62" s="21"/>
    </row>
    <row r="63" customFormat="false" ht="18" hidden="false" customHeight="true" outlineLevel="0" collapsed="false">
      <c r="A63" s="68" t="n">
        <v>59</v>
      </c>
      <c r="B63" s="18"/>
      <c r="C63" s="18"/>
      <c r="D63" s="18"/>
      <c r="E63" s="18"/>
      <c r="F63" s="19"/>
      <c r="G63" s="18"/>
      <c r="H63" s="20"/>
      <c r="I63" s="20"/>
      <c r="J63" s="18"/>
      <c r="K63" s="20"/>
      <c r="L63" s="18"/>
      <c r="M63" s="18"/>
    </row>
    <row r="64" customFormat="false" ht="18" hidden="false" customHeight="true" outlineLevel="0" collapsed="false">
      <c r="A64" s="69" t="n">
        <v>60</v>
      </c>
      <c r="B64" s="21"/>
      <c r="C64" s="21"/>
      <c r="D64" s="21"/>
      <c r="E64" s="21"/>
      <c r="F64" s="22"/>
      <c r="G64" s="21"/>
      <c r="H64" s="23"/>
      <c r="I64" s="23"/>
      <c r="J64" s="21"/>
      <c r="K64" s="23"/>
      <c r="L64" s="21"/>
      <c r="M64" s="21"/>
    </row>
    <row r="65" customFormat="false" ht="18" hidden="false" customHeight="true" outlineLevel="0" collapsed="false">
      <c r="A65" s="68" t="n">
        <v>61</v>
      </c>
      <c r="B65" s="18"/>
      <c r="C65" s="18"/>
      <c r="D65" s="18"/>
      <c r="E65" s="18"/>
      <c r="F65" s="19"/>
      <c r="G65" s="18"/>
      <c r="H65" s="20"/>
      <c r="I65" s="20"/>
      <c r="J65" s="18"/>
      <c r="K65" s="20"/>
      <c r="L65" s="18"/>
      <c r="M65" s="18"/>
    </row>
    <row r="66" customFormat="false" ht="18" hidden="false" customHeight="true" outlineLevel="0" collapsed="false">
      <c r="A66" s="69" t="n">
        <v>62</v>
      </c>
      <c r="B66" s="21"/>
      <c r="C66" s="21"/>
      <c r="D66" s="21"/>
      <c r="E66" s="21"/>
      <c r="F66" s="22"/>
      <c r="G66" s="21"/>
      <c r="H66" s="23"/>
      <c r="I66" s="23"/>
      <c r="J66" s="21"/>
      <c r="K66" s="23"/>
      <c r="L66" s="21"/>
      <c r="M66" s="21"/>
    </row>
    <row r="67" customFormat="false" ht="18" hidden="false" customHeight="true" outlineLevel="0" collapsed="false">
      <c r="A67" s="68" t="n">
        <v>63</v>
      </c>
      <c r="B67" s="18"/>
      <c r="C67" s="18"/>
      <c r="D67" s="18"/>
      <c r="E67" s="18"/>
      <c r="F67" s="19"/>
      <c r="G67" s="18"/>
      <c r="H67" s="20"/>
      <c r="I67" s="20"/>
      <c r="J67" s="18"/>
      <c r="K67" s="20"/>
      <c r="L67" s="18"/>
      <c r="M67" s="18"/>
    </row>
    <row r="68" customFormat="false" ht="18" hidden="false" customHeight="true" outlineLevel="0" collapsed="false">
      <c r="A68" s="69" t="n">
        <v>64</v>
      </c>
      <c r="B68" s="21"/>
      <c r="C68" s="21"/>
      <c r="D68" s="21"/>
      <c r="E68" s="21"/>
      <c r="F68" s="22"/>
      <c r="G68" s="21"/>
      <c r="H68" s="23"/>
      <c r="I68" s="23"/>
      <c r="J68" s="21"/>
      <c r="K68" s="23"/>
      <c r="L68" s="21"/>
      <c r="M68" s="21"/>
    </row>
    <row r="69" customFormat="false" ht="18" hidden="false" customHeight="true" outlineLevel="0" collapsed="false">
      <c r="A69" s="68" t="n">
        <v>65</v>
      </c>
      <c r="B69" s="18"/>
      <c r="C69" s="18"/>
      <c r="D69" s="18"/>
      <c r="E69" s="18"/>
      <c r="F69" s="19"/>
      <c r="G69" s="18"/>
      <c r="H69" s="20"/>
      <c r="I69" s="20"/>
      <c r="J69" s="18"/>
      <c r="K69" s="20"/>
      <c r="L69" s="18"/>
      <c r="M69" s="18"/>
    </row>
    <row r="70" customFormat="false" ht="18" hidden="false" customHeight="true" outlineLevel="0" collapsed="false">
      <c r="A70" s="69" t="n">
        <v>66</v>
      </c>
      <c r="B70" s="21"/>
      <c r="C70" s="21"/>
      <c r="D70" s="21"/>
      <c r="E70" s="21"/>
      <c r="F70" s="22"/>
      <c r="G70" s="21"/>
      <c r="H70" s="23"/>
      <c r="I70" s="23"/>
      <c r="J70" s="21"/>
      <c r="K70" s="23"/>
      <c r="L70" s="21"/>
      <c r="M70" s="21"/>
    </row>
    <row r="71" customFormat="false" ht="18" hidden="false" customHeight="true" outlineLevel="0" collapsed="false">
      <c r="A71" s="68" t="n">
        <v>67</v>
      </c>
      <c r="B71" s="18"/>
      <c r="C71" s="18"/>
      <c r="D71" s="18"/>
      <c r="E71" s="18"/>
      <c r="F71" s="19"/>
      <c r="G71" s="18"/>
      <c r="H71" s="20"/>
      <c r="I71" s="20"/>
      <c r="J71" s="18"/>
      <c r="K71" s="20"/>
      <c r="L71" s="18"/>
      <c r="M71" s="18"/>
    </row>
    <row r="72" customFormat="false" ht="18" hidden="false" customHeight="true" outlineLevel="0" collapsed="false">
      <c r="A72" s="69" t="n">
        <v>68</v>
      </c>
      <c r="B72" s="21"/>
      <c r="C72" s="21"/>
      <c r="D72" s="21"/>
      <c r="E72" s="21"/>
      <c r="F72" s="22"/>
      <c r="G72" s="21"/>
      <c r="H72" s="23"/>
      <c r="I72" s="23"/>
      <c r="J72" s="21"/>
      <c r="K72" s="23"/>
      <c r="L72" s="21"/>
      <c r="M72" s="21"/>
    </row>
    <row r="73" customFormat="false" ht="18" hidden="false" customHeight="true" outlineLevel="0" collapsed="false">
      <c r="A73" s="68" t="n">
        <v>69</v>
      </c>
      <c r="B73" s="18"/>
      <c r="C73" s="18"/>
      <c r="D73" s="18"/>
      <c r="E73" s="18"/>
      <c r="F73" s="19"/>
      <c r="G73" s="18"/>
      <c r="H73" s="20"/>
      <c r="I73" s="20"/>
      <c r="J73" s="18"/>
      <c r="K73" s="20"/>
      <c r="L73" s="18"/>
      <c r="M73" s="18"/>
    </row>
    <row r="74" customFormat="false" ht="18" hidden="false" customHeight="true" outlineLevel="0" collapsed="false">
      <c r="A74" s="69" t="n">
        <v>70</v>
      </c>
      <c r="B74" s="21"/>
      <c r="C74" s="21"/>
      <c r="D74" s="21"/>
      <c r="E74" s="21"/>
      <c r="F74" s="22"/>
      <c r="G74" s="21"/>
      <c r="H74" s="23"/>
      <c r="I74" s="23"/>
      <c r="J74" s="21"/>
      <c r="K74" s="23"/>
      <c r="L74" s="21"/>
      <c r="M74" s="21"/>
    </row>
    <row r="75" customFormat="false" ht="18" hidden="false" customHeight="true" outlineLevel="0" collapsed="false">
      <c r="A75" s="68" t="n">
        <v>71</v>
      </c>
      <c r="B75" s="18"/>
      <c r="C75" s="18"/>
      <c r="D75" s="18"/>
      <c r="E75" s="18"/>
      <c r="F75" s="19"/>
      <c r="G75" s="18"/>
      <c r="H75" s="20"/>
      <c r="I75" s="20"/>
      <c r="J75" s="18"/>
      <c r="K75" s="20"/>
      <c r="L75" s="18"/>
      <c r="M75" s="18"/>
    </row>
    <row r="76" customFormat="false" ht="18" hidden="false" customHeight="true" outlineLevel="0" collapsed="false">
      <c r="A76" s="69" t="n">
        <v>72</v>
      </c>
      <c r="B76" s="21"/>
      <c r="C76" s="21"/>
      <c r="D76" s="21"/>
      <c r="E76" s="21"/>
      <c r="F76" s="22"/>
      <c r="G76" s="21"/>
      <c r="H76" s="23"/>
      <c r="I76" s="23"/>
      <c r="J76" s="21"/>
      <c r="K76" s="23"/>
      <c r="L76" s="21"/>
      <c r="M76" s="21"/>
    </row>
    <row r="77" customFormat="false" ht="18" hidden="false" customHeight="true" outlineLevel="0" collapsed="false">
      <c r="A77" s="68" t="n">
        <v>73</v>
      </c>
      <c r="B77" s="18"/>
      <c r="C77" s="18"/>
      <c r="D77" s="18"/>
      <c r="E77" s="18"/>
      <c r="F77" s="19"/>
      <c r="G77" s="18"/>
      <c r="H77" s="20"/>
      <c r="I77" s="20"/>
      <c r="J77" s="18"/>
      <c r="K77" s="20"/>
      <c r="L77" s="18"/>
      <c r="M77" s="18"/>
    </row>
    <row r="78" customFormat="false" ht="18" hidden="false" customHeight="true" outlineLevel="0" collapsed="false">
      <c r="A78" s="69" t="n">
        <v>74</v>
      </c>
      <c r="B78" s="21"/>
      <c r="C78" s="21"/>
      <c r="D78" s="21"/>
      <c r="E78" s="21"/>
      <c r="F78" s="22"/>
      <c r="G78" s="21"/>
      <c r="H78" s="23"/>
      <c r="I78" s="23"/>
      <c r="J78" s="21"/>
      <c r="K78" s="23"/>
      <c r="L78" s="21"/>
      <c r="M78" s="21"/>
    </row>
    <row r="79" customFormat="false" ht="18" hidden="false" customHeight="true" outlineLevel="0" collapsed="false">
      <c r="A79" s="68" t="n">
        <v>75</v>
      </c>
      <c r="B79" s="18"/>
      <c r="C79" s="18"/>
      <c r="D79" s="18"/>
      <c r="E79" s="18"/>
      <c r="F79" s="19"/>
      <c r="G79" s="18"/>
      <c r="H79" s="20"/>
      <c r="I79" s="20"/>
      <c r="J79" s="18"/>
      <c r="K79" s="20"/>
      <c r="L79" s="18"/>
      <c r="M79" s="18"/>
    </row>
    <row r="80" customFormat="false" ht="18" hidden="false" customHeight="true" outlineLevel="0" collapsed="false">
      <c r="A80" s="69" t="n">
        <v>76</v>
      </c>
      <c r="B80" s="21"/>
      <c r="C80" s="21"/>
      <c r="D80" s="21"/>
      <c r="E80" s="21"/>
      <c r="F80" s="22"/>
      <c r="G80" s="21"/>
      <c r="H80" s="23"/>
      <c r="I80" s="23"/>
      <c r="J80" s="21"/>
      <c r="K80" s="23"/>
      <c r="L80" s="21"/>
      <c r="M80" s="21"/>
    </row>
    <row r="81" customFormat="false" ht="18" hidden="false" customHeight="true" outlineLevel="0" collapsed="false">
      <c r="A81" s="68" t="n">
        <v>77</v>
      </c>
      <c r="B81" s="18"/>
      <c r="C81" s="18"/>
      <c r="D81" s="18"/>
      <c r="E81" s="18"/>
      <c r="F81" s="19"/>
      <c r="G81" s="18"/>
      <c r="H81" s="20"/>
      <c r="I81" s="20"/>
      <c r="J81" s="18"/>
      <c r="K81" s="20"/>
      <c r="L81" s="18"/>
      <c r="M81" s="18"/>
    </row>
    <row r="82" customFormat="false" ht="18" hidden="false" customHeight="true" outlineLevel="0" collapsed="false">
      <c r="A82" s="69" t="n">
        <v>78</v>
      </c>
      <c r="B82" s="21"/>
      <c r="C82" s="21"/>
      <c r="D82" s="21"/>
      <c r="E82" s="21"/>
      <c r="F82" s="22"/>
      <c r="G82" s="21"/>
      <c r="H82" s="23"/>
      <c r="I82" s="23"/>
      <c r="J82" s="21"/>
      <c r="K82" s="23"/>
      <c r="L82" s="21"/>
      <c r="M82" s="21"/>
    </row>
    <row r="83" customFormat="false" ht="18" hidden="false" customHeight="true" outlineLevel="0" collapsed="false">
      <c r="A83" s="68" t="n">
        <v>79</v>
      </c>
      <c r="B83" s="18"/>
      <c r="C83" s="18"/>
      <c r="D83" s="18"/>
      <c r="E83" s="18"/>
      <c r="F83" s="19"/>
      <c r="G83" s="18"/>
      <c r="H83" s="20"/>
      <c r="I83" s="20"/>
      <c r="J83" s="18"/>
      <c r="K83" s="20"/>
      <c r="L83" s="18"/>
      <c r="M83" s="18"/>
    </row>
    <row r="84" customFormat="false" ht="18" hidden="false" customHeight="true" outlineLevel="0" collapsed="false">
      <c r="A84" s="69" t="n">
        <v>80</v>
      </c>
      <c r="B84" s="21"/>
      <c r="C84" s="21"/>
      <c r="D84" s="21"/>
      <c r="E84" s="21"/>
      <c r="F84" s="22"/>
      <c r="G84" s="21"/>
      <c r="H84" s="23"/>
      <c r="I84" s="23"/>
      <c r="J84" s="21"/>
      <c r="K84" s="23"/>
      <c r="L84" s="21"/>
      <c r="M84" s="21"/>
    </row>
    <row r="85" customFormat="false" ht="18" hidden="false" customHeight="true" outlineLevel="0" collapsed="false">
      <c r="A85" s="68" t="n">
        <v>81</v>
      </c>
      <c r="B85" s="18"/>
      <c r="C85" s="18"/>
      <c r="D85" s="18"/>
      <c r="E85" s="18"/>
      <c r="F85" s="19"/>
      <c r="G85" s="18"/>
      <c r="H85" s="20"/>
      <c r="I85" s="20"/>
      <c r="J85" s="18"/>
      <c r="K85" s="20"/>
      <c r="L85" s="18"/>
      <c r="M85" s="18"/>
    </row>
    <row r="86" customFormat="false" ht="18" hidden="false" customHeight="true" outlineLevel="0" collapsed="false">
      <c r="A86" s="69" t="n">
        <v>82</v>
      </c>
      <c r="B86" s="21"/>
      <c r="C86" s="21"/>
      <c r="D86" s="21"/>
      <c r="E86" s="21"/>
      <c r="F86" s="22"/>
      <c r="G86" s="21"/>
      <c r="H86" s="23"/>
      <c r="I86" s="23"/>
      <c r="J86" s="21"/>
      <c r="K86" s="23"/>
      <c r="L86" s="21"/>
      <c r="M86" s="21"/>
    </row>
    <row r="87" customFormat="false" ht="18" hidden="false" customHeight="true" outlineLevel="0" collapsed="false">
      <c r="A87" s="68" t="n">
        <v>83</v>
      </c>
      <c r="B87" s="18"/>
      <c r="C87" s="18"/>
      <c r="D87" s="18"/>
      <c r="E87" s="18"/>
      <c r="F87" s="19"/>
      <c r="G87" s="18"/>
      <c r="H87" s="20"/>
      <c r="I87" s="20"/>
      <c r="J87" s="18"/>
      <c r="K87" s="20"/>
      <c r="L87" s="18"/>
      <c r="M87" s="18"/>
    </row>
    <row r="88" customFormat="false" ht="18" hidden="false" customHeight="true" outlineLevel="0" collapsed="false">
      <c r="A88" s="69" t="n">
        <v>84</v>
      </c>
      <c r="B88" s="21"/>
      <c r="C88" s="21"/>
      <c r="D88" s="21"/>
      <c r="E88" s="21"/>
      <c r="F88" s="22"/>
      <c r="G88" s="21"/>
      <c r="H88" s="23"/>
      <c r="I88" s="23"/>
      <c r="J88" s="21"/>
      <c r="K88" s="23"/>
      <c r="L88" s="21"/>
      <c r="M88" s="21"/>
    </row>
    <row r="89" customFormat="false" ht="18" hidden="false" customHeight="true" outlineLevel="0" collapsed="false">
      <c r="A89" s="68" t="n">
        <v>85</v>
      </c>
      <c r="B89" s="18"/>
      <c r="C89" s="18"/>
      <c r="D89" s="18"/>
      <c r="E89" s="18"/>
      <c r="F89" s="19"/>
      <c r="G89" s="18"/>
      <c r="H89" s="20"/>
      <c r="I89" s="20"/>
      <c r="J89" s="18"/>
      <c r="K89" s="20"/>
      <c r="L89" s="18"/>
      <c r="M89" s="18"/>
    </row>
    <row r="90" customFormat="false" ht="18" hidden="false" customHeight="true" outlineLevel="0" collapsed="false">
      <c r="A90" s="69" t="n">
        <v>86</v>
      </c>
      <c r="B90" s="21"/>
      <c r="C90" s="21"/>
      <c r="D90" s="21"/>
      <c r="E90" s="21"/>
      <c r="F90" s="22"/>
      <c r="G90" s="21"/>
      <c r="H90" s="23"/>
      <c r="I90" s="23"/>
      <c r="J90" s="21"/>
      <c r="K90" s="23"/>
      <c r="L90" s="21"/>
      <c r="M90" s="21"/>
    </row>
    <row r="91" customFormat="false" ht="18" hidden="false" customHeight="true" outlineLevel="0" collapsed="false">
      <c r="A91" s="68" t="n">
        <v>87</v>
      </c>
      <c r="B91" s="18"/>
      <c r="C91" s="18"/>
      <c r="D91" s="18"/>
      <c r="E91" s="18"/>
      <c r="F91" s="19"/>
      <c r="G91" s="18"/>
      <c r="H91" s="20"/>
      <c r="I91" s="20"/>
      <c r="J91" s="18"/>
      <c r="K91" s="20"/>
      <c r="L91" s="18"/>
      <c r="M91" s="18"/>
    </row>
    <row r="92" customFormat="false" ht="18" hidden="false" customHeight="true" outlineLevel="0" collapsed="false">
      <c r="A92" s="69" t="n">
        <v>88</v>
      </c>
      <c r="B92" s="21"/>
      <c r="C92" s="21"/>
      <c r="D92" s="21"/>
      <c r="E92" s="21"/>
      <c r="F92" s="22"/>
      <c r="G92" s="21"/>
      <c r="H92" s="23"/>
      <c r="I92" s="23"/>
      <c r="J92" s="21"/>
      <c r="K92" s="23"/>
      <c r="L92" s="21"/>
      <c r="M92" s="21"/>
    </row>
    <row r="93" customFormat="false" ht="18" hidden="false" customHeight="true" outlineLevel="0" collapsed="false">
      <c r="A93" s="68" t="n">
        <v>89</v>
      </c>
      <c r="B93" s="18"/>
      <c r="C93" s="18"/>
      <c r="D93" s="18"/>
      <c r="E93" s="18"/>
      <c r="F93" s="19"/>
      <c r="G93" s="18"/>
      <c r="H93" s="20"/>
      <c r="I93" s="20"/>
      <c r="J93" s="18"/>
      <c r="K93" s="20"/>
      <c r="L93" s="18"/>
      <c r="M93" s="18"/>
    </row>
    <row r="94" customFormat="false" ht="18" hidden="false" customHeight="true" outlineLevel="0" collapsed="false">
      <c r="A94" s="69" t="n">
        <v>90</v>
      </c>
      <c r="B94" s="21"/>
      <c r="C94" s="21"/>
      <c r="D94" s="21"/>
      <c r="E94" s="21"/>
      <c r="F94" s="22"/>
      <c r="G94" s="21"/>
      <c r="H94" s="23"/>
      <c r="I94" s="23"/>
      <c r="J94" s="21"/>
      <c r="K94" s="23"/>
      <c r="L94" s="21"/>
      <c r="M94" s="21"/>
    </row>
    <row r="95" customFormat="false" ht="18" hidden="false" customHeight="true" outlineLevel="0" collapsed="false">
      <c r="A95" s="68" t="n">
        <v>91</v>
      </c>
      <c r="B95" s="18"/>
      <c r="C95" s="18"/>
      <c r="D95" s="18"/>
      <c r="E95" s="18"/>
      <c r="F95" s="19"/>
      <c r="G95" s="18"/>
      <c r="H95" s="20"/>
      <c r="I95" s="20"/>
      <c r="J95" s="18"/>
      <c r="K95" s="20"/>
      <c r="L95" s="18"/>
      <c r="M95" s="18"/>
    </row>
    <row r="96" customFormat="false" ht="18" hidden="false" customHeight="true" outlineLevel="0" collapsed="false">
      <c r="A96" s="69" t="n">
        <v>92</v>
      </c>
      <c r="B96" s="21"/>
      <c r="C96" s="21"/>
      <c r="D96" s="21"/>
      <c r="E96" s="21"/>
      <c r="F96" s="22"/>
      <c r="G96" s="21"/>
      <c r="H96" s="23"/>
      <c r="I96" s="23"/>
      <c r="J96" s="21"/>
      <c r="K96" s="23"/>
      <c r="L96" s="21"/>
      <c r="M96" s="21"/>
    </row>
    <row r="97" customFormat="false" ht="18" hidden="false" customHeight="true" outlineLevel="0" collapsed="false">
      <c r="A97" s="68" t="n">
        <v>93</v>
      </c>
      <c r="B97" s="18"/>
      <c r="C97" s="18"/>
      <c r="D97" s="18"/>
      <c r="E97" s="18"/>
      <c r="F97" s="19"/>
      <c r="G97" s="18"/>
      <c r="H97" s="20"/>
      <c r="I97" s="20"/>
      <c r="J97" s="18"/>
      <c r="K97" s="20"/>
      <c r="L97" s="18"/>
      <c r="M97" s="18"/>
    </row>
    <row r="98" customFormat="false" ht="18" hidden="false" customHeight="true" outlineLevel="0" collapsed="false">
      <c r="A98" s="69" t="n">
        <v>94</v>
      </c>
      <c r="B98" s="21"/>
      <c r="C98" s="21"/>
      <c r="D98" s="21"/>
      <c r="E98" s="21"/>
      <c r="F98" s="22"/>
      <c r="G98" s="21"/>
      <c r="H98" s="23"/>
      <c r="I98" s="23"/>
      <c r="J98" s="21"/>
      <c r="K98" s="23"/>
      <c r="L98" s="21"/>
      <c r="M98" s="21"/>
    </row>
    <row r="99" customFormat="false" ht="18" hidden="false" customHeight="true" outlineLevel="0" collapsed="false">
      <c r="A99" s="68" t="n">
        <v>95</v>
      </c>
      <c r="B99" s="18"/>
      <c r="C99" s="18"/>
      <c r="D99" s="18"/>
      <c r="E99" s="18"/>
      <c r="F99" s="19"/>
      <c r="G99" s="18"/>
      <c r="H99" s="20"/>
      <c r="I99" s="20"/>
      <c r="J99" s="18"/>
      <c r="K99" s="20"/>
      <c r="L99" s="18"/>
      <c r="M99" s="18"/>
    </row>
    <row r="100" customFormat="false" ht="18" hidden="false" customHeight="true" outlineLevel="0" collapsed="false">
      <c r="A100" s="69" t="n">
        <v>96</v>
      </c>
      <c r="B100" s="21"/>
      <c r="C100" s="21"/>
      <c r="D100" s="21"/>
      <c r="E100" s="21"/>
      <c r="F100" s="22"/>
      <c r="G100" s="21"/>
      <c r="H100" s="23"/>
      <c r="I100" s="23"/>
      <c r="J100" s="21"/>
      <c r="K100" s="23"/>
      <c r="L100" s="21"/>
      <c r="M100" s="21"/>
    </row>
    <row r="101" customFormat="false" ht="18" hidden="false" customHeight="true" outlineLevel="0" collapsed="false">
      <c r="A101" s="68" t="n">
        <v>97</v>
      </c>
      <c r="B101" s="18"/>
      <c r="C101" s="18"/>
      <c r="D101" s="18"/>
      <c r="E101" s="18"/>
      <c r="F101" s="19"/>
      <c r="G101" s="18"/>
      <c r="H101" s="20"/>
      <c r="I101" s="20"/>
      <c r="J101" s="18"/>
      <c r="K101" s="20"/>
      <c r="L101" s="18"/>
      <c r="M101" s="18"/>
    </row>
    <row r="102" customFormat="false" ht="18" hidden="false" customHeight="true" outlineLevel="0" collapsed="false">
      <c r="A102" s="69" t="n">
        <v>98</v>
      </c>
      <c r="B102" s="21"/>
      <c r="C102" s="21"/>
      <c r="D102" s="21"/>
      <c r="E102" s="21"/>
      <c r="F102" s="22"/>
      <c r="G102" s="21"/>
      <c r="H102" s="23"/>
      <c r="I102" s="23"/>
      <c r="J102" s="21"/>
      <c r="K102" s="23"/>
      <c r="L102" s="21"/>
      <c r="M102" s="21"/>
    </row>
    <row r="103" customFormat="false" ht="18" hidden="false" customHeight="true" outlineLevel="0" collapsed="false">
      <c r="A103" s="68" t="n">
        <v>99</v>
      </c>
      <c r="B103" s="18"/>
      <c r="C103" s="18"/>
      <c r="D103" s="18"/>
      <c r="E103" s="18"/>
      <c r="F103" s="19"/>
      <c r="G103" s="18"/>
      <c r="H103" s="20"/>
      <c r="I103" s="20"/>
      <c r="J103" s="18"/>
      <c r="K103" s="20"/>
      <c r="L103" s="18"/>
      <c r="M103" s="18"/>
    </row>
    <row r="104" customFormat="false" ht="18" hidden="false" customHeight="true" outlineLevel="0" collapsed="false">
      <c r="A104" s="69" t="n">
        <v>100</v>
      </c>
      <c r="B104" s="21"/>
      <c r="C104" s="21"/>
      <c r="D104" s="21"/>
      <c r="E104" s="21"/>
      <c r="F104" s="22"/>
      <c r="G104" s="21"/>
      <c r="H104" s="23"/>
      <c r="I104" s="23"/>
      <c r="J104" s="21"/>
      <c r="K104" s="23"/>
      <c r="L104" s="21"/>
      <c r="M104" s="21"/>
    </row>
  </sheetData>
  <mergeCells count="4">
    <mergeCell ref="A1:N1"/>
    <mergeCell ref="A2:N2"/>
    <mergeCell ref="A3:E3"/>
    <mergeCell ref="G3:M3"/>
  </mergeCells>
  <conditionalFormatting sqref="A5:M104">
    <cfRule type="expression" priority="2" aboveAverage="0" equalAverage="0" bottom="0" percent="0" rank="0" text="" dxfId="0">
      <formula>$G5="Discussion"</formula>
    </cfRule>
    <cfRule type="expression" priority="3" aboveAverage="0" equalAverage="0" bottom="0" percent="0" rank="0" text="" dxfId="1">
      <formula>$G5="KYC"</formula>
    </cfRule>
    <cfRule type="expression" priority="4" aboveAverage="0" equalAverage="0" bottom="0" percent="0" rank="0" text="" dxfId="2">
      <formula>$G5="Confirmed"</formula>
    </cfRule>
    <cfRule type="expression" priority="5" aboveAverage="0" equalAverage="0" bottom="0" percent="0" rank="0" text="" dxfId="3">
      <formula>$G5="Due Diligence"</formula>
    </cfRule>
    <cfRule type="expression" priority="6" aboveAverage="0" equalAverage="0" bottom="0" percent="0" rank="0" text="" dxfId="4">
      <formula>$G5="KYC Completed"</formula>
    </cfRule>
    <cfRule type="expression" priority="7" aboveAverage="0" equalAverage="0" bottom="0" percent="0" rank="0" text="" dxfId="5">
      <formula>$G5="CA Signing"</formula>
    </cfRule>
    <cfRule type="expression" priority="8" aboveAverage="0" equalAverage="0" bottom="0" percent="0" rank="0" text="" dxfId="6">
      <formula>$G5="Drawdown Issued"</formula>
    </cfRule>
    <cfRule type="expression" priority="9" aboveAverage="0" equalAverage="0" bottom="0" percent="0" rank="0" text="" dxfId="7">
      <formula>$G5="Fund Received"</formula>
    </cfRule>
    <cfRule type="expression" priority="10" aboveAverage="0" equalAverage="0" bottom="0" percent="0" rank="0" text="" dxfId="8">
      <formula>$G5="On Hold"</formula>
    </cfRule>
    <cfRule type="expression" priority="11" aboveAverage="0" equalAverage="0" bottom="0" percent="0" rank="0" text="" dxfId="9">
      <formula>$G5="Dropped"</formula>
    </cfRule>
  </conditionalFormatting>
  <dataValidations count="1">
    <dataValidation allowBlank="false" errorStyle="stop" operator="between" showDropDown="false" showErrorMessage="false" showInputMessage="false" sqref="G5:G104" type="list">
      <formula1>"Discussion,KYC,Confirmed,Due Diligence,KYC Completed,CA Signing,Drawdown Issued,Fund Received,On Hold,Dropped"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22"/>
  </cols>
  <sheetData>
    <row r="1" customFormat="false" ht="31.5" hidden="false" customHeight="true" outlineLevel="0" collapsed="false">
      <c r="A1" s="70" t="s">
        <v>212</v>
      </c>
      <c r="B1" s="70"/>
      <c r="C1" s="70"/>
      <c r="D1" s="70"/>
      <c r="E1" s="70"/>
    </row>
    <row r="3" customFormat="false" ht="21.75" hidden="false" customHeight="true" outlineLevel="0" collapsed="false">
      <c r="A3" s="15" t="s">
        <v>213</v>
      </c>
      <c r="B3" s="15"/>
      <c r="C3" s="15"/>
      <c r="D3" s="15"/>
    </row>
    <row r="4" customFormat="false" ht="19.5" hidden="false" customHeight="true" outlineLevel="0" collapsed="false">
      <c r="A4" s="71" t="s">
        <v>214</v>
      </c>
      <c r="B4" s="72" t="n">
        <v>500</v>
      </c>
    </row>
    <row r="5" customFormat="false" ht="19.5" hidden="false" customHeight="true" outlineLevel="0" collapsed="false">
      <c r="A5" s="73" t="s">
        <v>215</v>
      </c>
      <c r="B5" s="74" t="n">
        <f aca="false">INPUT_Drawdown!D3</f>
        <v>0</v>
      </c>
    </row>
    <row r="6" customFormat="false" ht="19.5" hidden="false" customHeight="true" outlineLevel="0" collapsed="false">
      <c r="A6" s="75" t="s">
        <v>93</v>
      </c>
      <c r="B6" s="76" t="n">
        <f aca="false">INPUT_Deployment!C3</f>
        <v>25</v>
      </c>
    </row>
    <row r="7" customFormat="false" ht="19.5" hidden="false" customHeight="true" outlineLevel="0" collapsed="false">
      <c r="A7" s="73" t="s">
        <v>216</v>
      </c>
      <c r="B7" s="74" t="n">
        <f aca="false">INPUT_CashBank!C3</f>
        <v>41.3</v>
      </c>
    </row>
    <row r="8" customFormat="false" ht="19.5" hidden="false" customHeight="true" outlineLevel="0" collapsed="false">
      <c r="A8" s="75" t="s">
        <v>217</v>
      </c>
      <c r="B8" s="76" t="n">
        <f aca="false">INPUT_MutualFund!E3</f>
        <v>58.788992</v>
      </c>
    </row>
    <row r="9" customFormat="false" ht="19.5" hidden="false" customHeight="true" outlineLevel="0" collapsed="false">
      <c r="A9" s="73" t="s">
        <v>218</v>
      </c>
      <c r="B9" s="77" t="n">
        <f aca="false">B6/B4</f>
        <v>0.05</v>
      </c>
    </row>
    <row r="10" customFormat="false" ht="19.5" hidden="false" customHeight="true" outlineLevel="0" collapsed="false">
      <c r="A10" s="75" t="s">
        <v>219</v>
      </c>
      <c r="B10" s="78" t="n">
        <f aca="false">B5/B4</f>
        <v>0</v>
      </c>
    </row>
    <row r="11" customFormat="false" ht="19.5" hidden="false" customHeight="true" outlineLevel="0" collapsed="false">
      <c r="A11" s="73" t="s">
        <v>220</v>
      </c>
      <c r="B11" s="74" t="n">
        <f aca="false">B5-B6</f>
        <v>-25</v>
      </c>
    </row>
    <row r="13" customFormat="false" ht="15" hidden="false" customHeight="false" outlineLevel="0" collapsed="false">
      <c r="A13" s="79" t="s">
        <v>221</v>
      </c>
      <c r="B13" s="80" t="s">
        <v>222</v>
      </c>
      <c r="C13" s="80" t="s">
        <v>126</v>
      </c>
    </row>
    <row r="14" customFormat="false" ht="18" hidden="false" customHeight="true" outlineLevel="0" collapsed="false">
      <c r="A14" s="81" t="s">
        <v>35</v>
      </c>
      <c r="B14" s="82" t="n">
        <f aca="false">COUNTIF(INPUT_Pipeline!G5:G104,"Discussion")</f>
        <v>0</v>
      </c>
      <c r="C14" s="83" t="n">
        <f aca="false">SUMIF(INPUT_Pipeline!G5:G104,"Discussion",INPUT_Pipeline!F5:F104)</f>
        <v>0</v>
      </c>
    </row>
    <row r="15" customFormat="false" ht="18" hidden="false" customHeight="true" outlineLevel="0" collapsed="false">
      <c r="A15" s="84" t="s">
        <v>36</v>
      </c>
      <c r="B15" s="85" t="n">
        <f aca="false">COUNTIF(INPUT_Pipeline!G5:G104,"KYC")</f>
        <v>0</v>
      </c>
      <c r="C15" s="86" t="n">
        <f aca="false">SUMIF(INPUT_Pipeline!G5:G104,"KYC",INPUT_Pipeline!F5:F104)</f>
        <v>0</v>
      </c>
    </row>
    <row r="16" customFormat="false" ht="18" hidden="false" customHeight="true" outlineLevel="0" collapsed="false">
      <c r="A16" s="87" t="s">
        <v>37</v>
      </c>
      <c r="B16" s="88" t="n">
        <f aca="false">COUNTIF(INPUT_Pipeline!G5:G104,"Confirmed")</f>
        <v>0</v>
      </c>
      <c r="C16" s="89" t="n">
        <f aca="false">SUMIF(INPUT_Pipeline!G5:G104,"Confirmed",INPUT_Pipeline!F5:F104)</f>
        <v>0</v>
      </c>
    </row>
    <row r="17" customFormat="false" ht="18" hidden="false" customHeight="true" outlineLevel="0" collapsed="false">
      <c r="A17" s="90" t="s">
        <v>38</v>
      </c>
      <c r="B17" s="91" t="n">
        <f aca="false">COUNTIF(INPUT_Pipeline!G5:G104,"Due Diligence")</f>
        <v>0</v>
      </c>
      <c r="C17" s="92" t="n">
        <f aca="false">SUMIF(INPUT_Pipeline!G5:G104,"Due Diligence",INPUT_Pipeline!F5:F104)</f>
        <v>0</v>
      </c>
    </row>
    <row r="18" customFormat="false" ht="18" hidden="false" customHeight="true" outlineLevel="0" collapsed="false">
      <c r="A18" s="93" t="s">
        <v>39</v>
      </c>
      <c r="B18" s="94" t="n">
        <f aca="false">COUNTIF(INPUT_Pipeline!G5:G104,"KYC Completed")</f>
        <v>0</v>
      </c>
      <c r="C18" s="95" t="n">
        <f aca="false">SUMIF(INPUT_Pipeline!G5:G104,"KYC Completed",INPUT_Pipeline!F5:F104)</f>
        <v>0</v>
      </c>
    </row>
    <row r="19" customFormat="false" ht="18" hidden="false" customHeight="true" outlineLevel="0" collapsed="false">
      <c r="A19" s="96" t="s">
        <v>40</v>
      </c>
      <c r="B19" s="97" t="n">
        <f aca="false">COUNTIF(INPUT_Pipeline!G5:G104,"CA Signing")</f>
        <v>0</v>
      </c>
      <c r="C19" s="98" t="n">
        <f aca="false">SUMIF(INPUT_Pipeline!G5:G104,"CA Signing",INPUT_Pipeline!F5:F104)</f>
        <v>0</v>
      </c>
    </row>
    <row r="20" customFormat="false" ht="18" hidden="false" customHeight="true" outlineLevel="0" collapsed="false">
      <c r="A20" s="99" t="s">
        <v>41</v>
      </c>
      <c r="B20" s="100" t="n">
        <f aca="false">COUNTIF(INPUT_Pipeline!G5:G104,"Drawdown Issued")</f>
        <v>0</v>
      </c>
      <c r="C20" s="101" t="n">
        <f aca="false">SUMIF(INPUT_Pipeline!G5:G104,"Drawdown Issued",INPUT_Pipeline!F5:F104)</f>
        <v>0</v>
      </c>
    </row>
    <row r="21" customFormat="false" ht="18" hidden="false" customHeight="true" outlineLevel="0" collapsed="false">
      <c r="A21" s="102" t="s">
        <v>223</v>
      </c>
      <c r="B21" s="103" t="n">
        <f aca="false">COUNTIF(INPUT_Pipeline!G5:G104,"Fund Received")</f>
        <v>0</v>
      </c>
      <c r="C21" s="104" t="n">
        <f aca="false">SUMIF(INPUT_Pipeline!G5:G104,"Fund Received",INPUT_Pipeline!F5:F104)</f>
        <v>0</v>
      </c>
    </row>
    <row r="22" customFormat="false" ht="18" hidden="false" customHeight="true" outlineLevel="0" collapsed="false">
      <c r="A22" s="105" t="s">
        <v>224</v>
      </c>
      <c r="B22" s="106" t="n">
        <f aca="false">COUNTIF(INPUT_Pipeline!G5:G104,"On Hold")</f>
        <v>0</v>
      </c>
      <c r="C22" s="107" t="n">
        <f aca="false">SUMIF(INPUT_Pipeline!G5:G104,"On Hold",INPUT_Pipeline!F5:F104)</f>
        <v>0</v>
      </c>
    </row>
    <row r="23" customFormat="false" ht="18" hidden="false" customHeight="true" outlineLevel="0" collapsed="false">
      <c r="A23" s="108" t="s">
        <v>225</v>
      </c>
      <c r="B23" s="109" t="n">
        <f aca="false">COUNTIF(INPUT_Pipeline!G5:G104,"Dropped")</f>
        <v>0</v>
      </c>
      <c r="C23" s="110" t="n">
        <f aca="false">SUMIF(INPUT_Pipeline!G5:G104,"Dropped",INPUT_Pipeline!F5:F104)</f>
        <v>0</v>
      </c>
    </row>
  </sheetData>
  <mergeCells count="2">
    <mergeCell ref="A1:E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2026-06-29T07:34:53Z</dcterms:created>
  <dc:creator>openpyxl</dc:creator>
  <dc:description/>
  <dc:language>en-US</dc:language>
  <cp:lastModifiedBy/>
  <dcterms:modified xsi:type="dcterms:W3CDTF">2026-06-29T07:34:54Z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